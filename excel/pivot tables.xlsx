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Data_Analyst Project\Student_performance\"/>
    </mc:Choice>
  </mc:AlternateContent>
  <xr:revisionPtr revIDLastSave="0" documentId="8_{5B88B225-B3AD-4093-BD99-D06C952B6C81}" xr6:coauthVersionLast="47" xr6:coauthVersionMax="47" xr10:uidLastSave="{00000000-0000-0000-0000-000000000000}"/>
  <bookViews>
    <workbookView xWindow="-108" yWindow="-108" windowWidth="23256" windowHeight="12456" activeTab="2" xr2:uid="{00000000-000D-0000-FFFF-FFFF00000000}"/>
  </bookViews>
  <sheets>
    <sheet name="RD" sheetId="1" r:id="rId1"/>
    <sheet name="BH" sheetId="2" r:id="rId2"/>
    <sheet name="Sheet5" sheetId="7" r:id="rId3"/>
    <sheet name="Sheet9" sheetId="12" r:id="rId4"/>
    <sheet name="Dashbord" sheetId="13" r:id="rId5"/>
    <sheet name="Dashboard1" sheetId="14" r:id="rId6"/>
    <sheet name="Clean_Data" sheetId="5" r:id="rId7"/>
    <sheet name="Clean_Hod" sheetId="9" r:id="rId8"/>
  </sheets>
  <definedNames>
    <definedName name="_xlcn.WorksheetConnection_student_dashboard_mini_project_data.xlsxTable81" hidden="1">Table8[]</definedName>
    <definedName name="Slicer_Brnach">#N/A</definedName>
    <definedName name="Slicer_City">#N/A</definedName>
    <definedName name="Slicer_Result">#N/A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8" name="Table8" connection="WorksheetConnection_student_dashboard_mini_project_data.xlsx!Table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4" l="1"/>
  <c r="D3" i="14"/>
  <c r="J3" i="14"/>
  <c r="G3"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05D36-5433-49D1-8818-BE274506F15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F369DB3-46C8-477E-A8A5-3CCC1476B8CB}" name="WorksheetConnection_student_dashboard_mini_project_data.xlsx!Table8" type="102" refreshedVersion="8" minRefreshableVersion="5">
    <extLst>
      <ext xmlns:x15="http://schemas.microsoft.com/office/spreadsheetml/2010/11/main" uri="{DE250136-89BD-433C-8126-D09CA5730AF9}">
        <x15:connection id="Table8" autoDelete="1">
          <x15:rangePr sourceName="_xlcn.WorksheetConnection_student_dashboard_mini_project_data.xlsxTable81"/>
        </x15:connection>
      </ext>
    </extLst>
  </connection>
</connections>
</file>

<file path=xl/sharedStrings.xml><?xml version="1.0" encoding="utf-8"?>
<sst xmlns="http://schemas.openxmlformats.org/spreadsheetml/2006/main" count="831" uniqueCount="239">
  <si>
    <t>ID</t>
  </si>
  <si>
    <t>Name</t>
  </si>
  <si>
    <t>Branch</t>
  </si>
  <si>
    <t>Marks</t>
  </si>
  <si>
    <t>City</t>
  </si>
  <si>
    <t>Phone</t>
  </si>
  <si>
    <t>ramesh</t>
  </si>
  <si>
    <t>cse</t>
  </si>
  <si>
    <t>81</t>
  </si>
  <si>
    <t>Chennai</t>
  </si>
  <si>
    <t>9321296288</t>
  </si>
  <si>
    <t>tina</t>
  </si>
  <si>
    <t>82</t>
  </si>
  <si>
    <t>kolkata</t>
  </si>
  <si>
    <t>9368431884</t>
  </si>
  <si>
    <t>priya</t>
  </si>
  <si>
    <t>IT</t>
  </si>
  <si>
    <t>65</t>
  </si>
  <si>
    <t>Kolkata</t>
  </si>
  <si>
    <t>9404532739</t>
  </si>
  <si>
    <t>nikita</t>
  </si>
  <si>
    <t>mech</t>
  </si>
  <si>
    <t>78</t>
  </si>
  <si>
    <t>Mumbai</t>
  </si>
  <si>
    <t>9357032624</t>
  </si>
  <si>
    <t>akash</t>
  </si>
  <si>
    <t>it</t>
  </si>
  <si>
    <t>44</t>
  </si>
  <si>
    <t>9425194051</t>
  </si>
  <si>
    <t>seema</t>
  </si>
  <si>
    <t>eee</t>
  </si>
  <si>
    <t>75</t>
  </si>
  <si>
    <t>9801129497</t>
  </si>
  <si>
    <t>kavya</t>
  </si>
  <si>
    <t>civil</t>
  </si>
  <si>
    <t xml:space="preserve">24 </t>
  </si>
  <si>
    <t>mumbai</t>
  </si>
  <si>
    <t>9423372648</t>
  </si>
  <si>
    <t xml:space="preserve"> Simran </t>
  </si>
  <si>
    <t>92</t>
  </si>
  <si>
    <t>chennai</t>
  </si>
  <si>
    <t>9745645845</t>
  </si>
  <si>
    <t>aryan</t>
  </si>
  <si>
    <t>64</t>
  </si>
  <si>
    <t>9544615904</t>
  </si>
  <si>
    <t>kunal</t>
  </si>
  <si>
    <t>54</t>
  </si>
  <si>
    <t>Delhi</t>
  </si>
  <si>
    <t>9277100620</t>
  </si>
  <si>
    <t>rahul</t>
  </si>
  <si>
    <t>CIVIL</t>
  </si>
  <si>
    <t>61</t>
  </si>
  <si>
    <t>pune</t>
  </si>
  <si>
    <t>9105377912</t>
  </si>
  <si>
    <t>manish</t>
  </si>
  <si>
    <t>77</t>
  </si>
  <si>
    <t>9269900364</t>
  </si>
  <si>
    <t xml:space="preserve"> manish </t>
  </si>
  <si>
    <t>86</t>
  </si>
  <si>
    <t>9636742075</t>
  </si>
  <si>
    <t>mohit</t>
  </si>
  <si>
    <t>89</t>
  </si>
  <si>
    <t>9678389338</t>
  </si>
  <si>
    <t xml:space="preserve"> karan </t>
  </si>
  <si>
    <t>20</t>
  </si>
  <si>
    <t>9169729565</t>
  </si>
  <si>
    <t>nitin</t>
  </si>
  <si>
    <t>9931721977</t>
  </si>
  <si>
    <t xml:space="preserve"> imran </t>
  </si>
  <si>
    <t>62</t>
  </si>
  <si>
    <t>9661984896</t>
  </si>
  <si>
    <t>aarti</t>
  </si>
  <si>
    <t>95</t>
  </si>
  <si>
    <t>hyderabad</t>
  </si>
  <si>
    <t>9774770785</t>
  </si>
  <si>
    <t>kriti</t>
  </si>
  <si>
    <t>57</t>
  </si>
  <si>
    <t>9149645403</t>
  </si>
  <si>
    <t>karan</t>
  </si>
  <si>
    <t xml:space="preserve">81 </t>
  </si>
  <si>
    <t>9739018940</t>
  </si>
  <si>
    <t>9203080209</t>
  </si>
  <si>
    <t>arpit</t>
  </si>
  <si>
    <t>EEE</t>
  </si>
  <si>
    <t>74</t>
  </si>
  <si>
    <t>9898267772</t>
  </si>
  <si>
    <t>megha</t>
  </si>
  <si>
    <t>9510000407</t>
  </si>
  <si>
    <t>CSE</t>
  </si>
  <si>
    <t xml:space="preserve">64 </t>
  </si>
  <si>
    <t>delhi</t>
  </si>
  <si>
    <t>9590564469</t>
  </si>
  <si>
    <t>83</t>
  </si>
  <si>
    <t>9383062032</t>
  </si>
  <si>
    <t>deepak</t>
  </si>
  <si>
    <t>9190140029</t>
  </si>
  <si>
    <t>73</t>
  </si>
  <si>
    <t>9170317897</t>
  </si>
  <si>
    <t>ved</t>
  </si>
  <si>
    <t>MECH</t>
  </si>
  <si>
    <t xml:space="preserve">61 </t>
  </si>
  <si>
    <t>Hyderabad</t>
  </si>
  <si>
    <t>9525776887</t>
  </si>
  <si>
    <t xml:space="preserve"> tina </t>
  </si>
  <si>
    <t>91</t>
  </si>
  <si>
    <t>9157250803</t>
  </si>
  <si>
    <t>sneha</t>
  </si>
  <si>
    <t>76</t>
  </si>
  <si>
    <t>9963882406</t>
  </si>
  <si>
    <t>9997217880</t>
  </si>
  <si>
    <t>Neha</t>
  </si>
  <si>
    <t>66</t>
  </si>
  <si>
    <t>9526305829</t>
  </si>
  <si>
    <t>pooja</t>
  </si>
  <si>
    <t xml:space="preserve">41 </t>
  </si>
  <si>
    <t>9676275010</t>
  </si>
  <si>
    <t>38</t>
  </si>
  <si>
    <t>9577540267</t>
  </si>
  <si>
    <t>kiran</t>
  </si>
  <si>
    <t>9468666913</t>
  </si>
  <si>
    <t xml:space="preserve">39 </t>
  </si>
  <si>
    <t>9301287269</t>
  </si>
  <si>
    <t>sara</t>
  </si>
  <si>
    <t>26</t>
  </si>
  <si>
    <t>9277696808</t>
  </si>
  <si>
    <t>9299261818</t>
  </si>
  <si>
    <t xml:space="preserve"> nisha </t>
  </si>
  <si>
    <t>9627921948</t>
  </si>
  <si>
    <t>42</t>
  </si>
  <si>
    <t>9289191471</t>
  </si>
  <si>
    <t>70</t>
  </si>
  <si>
    <t>9227108075</t>
  </si>
  <si>
    <t>sachin</t>
  </si>
  <si>
    <t>32</t>
  </si>
  <si>
    <t>9660292384</t>
  </si>
  <si>
    <t>69</t>
  </si>
  <si>
    <t>9204040174</t>
  </si>
  <si>
    <t>56</t>
  </si>
  <si>
    <t>9302402085</t>
  </si>
  <si>
    <t>9291326645</t>
  </si>
  <si>
    <t xml:space="preserve">36 </t>
  </si>
  <si>
    <t>9981179562</t>
  </si>
  <si>
    <t xml:space="preserve"> sonia </t>
  </si>
  <si>
    <t>9917039182</t>
  </si>
  <si>
    <t xml:space="preserve">69 </t>
  </si>
  <si>
    <t>9810881249</t>
  </si>
  <si>
    <t>9720815308</t>
  </si>
  <si>
    <t xml:space="preserve"> megha </t>
  </si>
  <si>
    <t>9249296382</t>
  </si>
  <si>
    <t xml:space="preserve"> ankit </t>
  </si>
  <si>
    <t>87</t>
  </si>
  <si>
    <t>9923456458</t>
  </si>
  <si>
    <t>anjali</t>
  </si>
  <si>
    <t>53</t>
  </si>
  <si>
    <t>9909267074</t>
  </si>
  <si>
    <t xml:space="preserve"> Neha </t>
  </si>
  <si>
    <t>27</t>
  </si>
  <si>
    <t>9675070364</t>
  </si>
  <si>
    <t xml:space="preserve"> priya </t>
  </si>
  <si>
    <t>67</t>
  </si>
  <si>
    <t>9862321703</t>
  </si>
  <si>
    <t>71</t>
  </si>
  <si>
    <t>9584711250</t>
  </si>
  <si>
    <t xml:space="preserve">80 </t>
  </si>
  <si>
    <t>9625890461</t>
  </si>
  <si>
    <t>arjun</t>
  </si>
  <si>
    <t>9704267023</t>
  </si>
  <si>
    <t xml:space="preserve"> raj </t>
  </si>
  <si>
    <t xml:space="preserve">60 </t>
  </si>
  <si>
    <t>9591405297</t>
  </si>
  <si>
    <t>30</t>
  </si>
  <si>
    <t>9874636333</t>
  </si>
  <si>
    <t>9810777957</t>
  </si>
  <si>
    <t>HOD_Name</t>
  </si>
  <si>
    <t>Dr. Sharma</t>
  </si>
  <si>
    <t>Prof. Verma</t>
  </si>
  <si>
    <t>Dr. Iyer</t>
  </si>
  <si>
    <t>Prof. Singh</t>
  </si>
  <si>
    <t>Dr. Khan</t>
  </si>
  <si>
    <t>Brnach</t>
  </si>
  <si>
    <t>Grade</t>
  </si>
  <si>
    <t>Result</t>
  </si>
  <si>
    <t>Ramesh</t>
  </si>
  <si>
    <t>Tina</t>
  </si>
  <si>
    <t>Priya</t>
  </si>
  <si>
    <t>Nikita</t>
  </si>
  <si>
    <t>Akash</t>
  </si>
  <si>
    <t>Seema</t>
  </si>
  <si>
    <t>Kavya</t>
  </si>
  <si>
    <t>Simran</t>
  </si>
  <si>
    <t>Aryan</t>
  </si>
  <si>
    <t>Kunal</t>
  </si>
  <si>
    <t>Rahul</t>
  </si>
  <si>
    <t>Pune</t>
  </si>
  <si>
    <t>Manish</t>
  </si>
  <si>
    <t>Mohit</t>
  </si>
  <si>
    <t>Karan</t>
  </si>
  <si>
    <t>Nitin</t>
  </si>
  <si>
    <t>Imran</t>
  </si>
  <si>
    <t>Aarti</t>
  </si>
  <si>
    <t>Kriti</t>
  </si>
  <si>
    <t>Arpit</t>
  </si>
  <si>
    <t>Megha</t>
  </si>
  <si>
    <t>Deepak</t>
  </si>
  <si>
    <t>Ved</t>
  </si>
  <si>
    <t>Sneha</t>
  </si>
  <si>
    <t>Pooja</t>
  </si>
  <si>
    <t>Kiran</t>
  </si>
  <si>
    <t>Sara</t>
  </si>
  <si>
    <t>Nisha</t>
  </si>
  <si>
    <t>Sachin</t>
  </si>
  <si>
    <t>Sonia</t>
  </si>
  <si>
    <t>Ankit</t>
  </si>
  <si>
    <t>Anjali</t>
  </si>
  <si>
    <t>Arjun</t>
  </si>
  <si>
    <t>Raj</t>
  </si>
  <si>
    <t>count</t>
  </si>
  <si>
    <t>Row Labels</t>
  </si>
  <si>
    <t>Grand Total</t>
  </si>
  <si>
    <t>Count of Name</t>
  </si>
  <si>
    <t>Students</t>
  </si>
  <si>
    <t>student</t>
  </si>
  <si>
    <t>B</t>
  </si>
  <si>
    <t>Fail</t>
  </si>
  <si>
    <t>Pass</t>
  </si>
  <si>
    <t>Count_Student</t>
  </si>
  <si>
    <t>Student_Name</t>
  </si>
  <si>
    <t>Max of Marks</t>
  </si>
  <si>
    <t>Average of Marks</t>
  </si>
  <si>
    <t>branch_wise</t>
  </si>
  <si>
    <t>A</t>
  </si>
  <si>
    <t>C</t>
  </si>
  <si>
    <t>D</t>
  </si>
  <si>
    <t>F</t>
  </si>
  <si>
    <t>Hod</t>
  </si>
  <si>
    <t>Pass/Fail</t>
  </si>
  <si>
    <t>Average Marks</t>
  </si>
  <si>
    <t>Pass%</t>
  </si>
  <si>
    <t>Top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</si>
</sst>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1" fillId="0" borderId="0" xfId="0" applyFont="1"/>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0" fontId="0" fillId="0" borderId="0" xfId="0" pivotButton="1"/>
    <xf numFmtId="0" fontId="0" fillId="0" borderId="0" xfId="0" applyAlignment="1">
      <alignment horizontal="right"/>
    </xf>
    <xf numFmtId="0" fontId="3" fillId="2" borderId="0" xfId="0" applyFont="1" applyFill="1"/>
    <xf numFmtId="0" fontId="3" fillId="2" borderId="0" xfId="0" applyFont="1" applyFill="1" applyAlignment="1">
      <alignment horizontal="center"/>
    </xf>
    <xf numFmtId="9" fontId="3" fillId="2" borderId="0" xfId="1" applyFont="1" applyFill="1"/>
    <xf numFmtId="0" fontId="0" fillId="0" borderId="0" xfId="0" applyNumberFormat="1"/>
  </cellXfs>
  <cellStyles count="2">
    <cellStyle name="Normal" xfId="0" builtinId="0"/>
    <cellStyle name="Percent" xfId="1" builtinId="5"/>
  </cellStyles>
  <dxfs count="15">
    <dxf>
      <font>
        <b/>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alignment horizontal="right"/>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tables.xlsx]Dashbord!PivotTable12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a:t>
            </a:r>
            <a:r>
              <a:rPr lang="en-US" baseline="0"/>
              <a:t> Fail Student</a:t>
            </a:r>
            <a:endParaRPr lang="en-US"/>
          </a:p>
        </c:rich>
      </c:tx>
      <c:layout>
        <c:manualLayout>
          <c:xMode val="edge"/>
          <c:yMode val="edge"/>
          <c:x val="0.31736647300155441"/>
          <c:y val="6.2102653834937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3"/>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s>
    <c:plotArea>
      <c:layout>
        <c:manualLayout>
          <c:layoutTarget val="inner"/>
          <c:xMode val="edge"/>
          <c:yMode val="edge"/>
          <c:x val="0.17214949162908036"/>
          <c:y val="0.25367454068241468"/>
          <c:w val="0.44231104910429886"/>
          <c:h val="0.65316183595330157"/>
        </c:manualLayout>
      </c:layout>
      <c:doughnutChart>
        <c:varyColors val="1"/>
        <c:ser>
          <c:idx val="0"/>
          <c:order val="0"/>
          <c:tx>
            <c:strRef>
              <c:f>Dashbord!$B$10</c:f>
              <c:strCache>
                <c:ptCount val="1"/>
                <c:pt idx="0">
                  <c:v>Total</c:v>
                </c:pt>
              </c:strCache>
            </c:strRef>
          </c:tx>
          <c:spPr>
            <a:solidFill>
              <a:schemeClr val="accent3"/>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394-4CE9-A8C3-8B4C6E7CF02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394-4CE9-A8C3-8B4C6E7CF0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Dashbord!$A$11:$A$13</c:f>
              <c:strCache>
                <c:ptCount val="2"/>
                <c:pt idx="0">
                  <c:v>Fail</c:v>
                </c:pt>
                <c:pt idx="1">
                  <c:v>Pass</c:v>
                </c:pt>
              </c:strCache>
            </c:strRef>
          </c:cat>
          <c:val>
            <c:numRef>
              <c:f>Dashbord!$B$11:$B$13</c:f>
              <c:numCache>
                <c:formatCode>General</c:formatCode>
                <c:ptCount val="2"/>
                <c:pt idx="0">
                  <c:v>7</c:v>
                </c:pt>
                <c:pt idx="1">
                  <c:v>53</c:v>
                </c:pt>
              </c:numCache>
            </c:numRef>
          </c:val>
          <c:extLst>
            <c:ext xmlns:c16="http://schemas.microsoft.com/office/drawing/2014/chart" uri="{C3380CC4-5D6E-409C-BE32-E72D297353CC}">
              <c16:uniqueId val="{00000004-4394-4CE9-A8C3-8B4C6E7CF029}"/>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layout>
        <c:manualLayout>
          <c:xMode val="edge"/>
          <c:yMode val="edge"/>
          <c:x val="0.66180555555555554"/>
          <c:y val="0.55460593467483243"/>
          <c:w val="0.18351800554016623"/>
          <c:h val="0.288409580522864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tables.xlsx]Dashbord!PivotTable13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Marks By Branch</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Dashbord!$E$6</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Dashbord!$D$7:$D$12</c:f>
              <c:strCache>
                <c:ptCount val="5"/>
                <c:pt idx="0">
                  <c:v>CIVIL</c:v>
                </c:pt>
                <c:pt idx="1">
                  <c:v>CSE</c:v>
                </c:pt>
                <c:pt idx="2">
                  <c:v>EEE</c:v>
                </c:pt>
                <c:pt idx="3">
                  <c:v>IT</c:v>
                </c:pt>
                <c:pt idx="4">
                  <c:v>MECH</c:v>
                </c:pt>
              </c:strCache>
            </c:strRef>
          </c:cat>
          <c:val>
            <c:numRef>
              <c:f>Dashbord!$E$7:$E$12</c:f>
              <c:numCache>
                <c:formatCode>General</c:formatCode>
                <c:ptCount val="5"/>
                <c:pt idx="0">
                  <c:v>57</c:v>
                </c:pt>
                <c:pt idx="1">
                  <c:v>64.25</c:v>
                </c:pt>
                <c:pt idx="2">
                  <c:v>59.222222222222221</c:v>
                </c:pt>
                <c:pt idx="3">
                  <c:v>71.666666666666671</c:v>
                </c:pt>
                <c:pt idx="4">
                  <c:v>66.63636363636364</c:v>
                </c:pt>
              </c:numCache>
            </c:numRef>
          </c:val>
          <c:extLst>
            <c:ext xmlns:c16="http://schemas.microsoft.com/office/drawing/2014/chart" uri="{C3380CC4-5D6E-409C-BE32-E72D297353CC}">
              <c16:uniqueId val="{00000000-EE2E-48B4-8940-6956C57B68CC}"/>
            </c:ext>
          </c:extLst>
        </c:ser>
        <c:dLbls>
          <c:dLblPos val="outEnd"/>
          <c:showLegendKey val="0"/>
          <c:showVal val="1"/>
          <c:showCatName val="0"/>
          <c:showSerName val="0"/>
          <c:showPercent val="0"/>
          <c:showBubbleSize val="0"/>
        </c:dLbls>
        <c:gapWidth val="219"/>
        <c:overlap val="-27"/>
        <c:axId val="424215823"/>
        <c:axId val="424216303"/>
      </c:barChart>
      <c:catAx>
        <c:axId val="4242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6303"/>
        <c:crosses val="autoZero"/>
        <c:auto val="1"/>
        <c:lblAlgn val="ctr"/>
        <c:lblOffset val="100"/>
        <c:noMultiLvlLbl val="0"/>
      </c:catAx>
      <c:valAx>
        <c:axId val="42421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tables.xlsx]Dashbord!PivotTable14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08110104318636"/>
          <c:y val="9.0572394152914931E-2"/>
          <c:w val="0.77499231389005319"/>
          <c:h val="0.67131411272762631"/>
        </c:manualLayout>
      </c:layout>
      <c:barChart>
        <c:barDir val="col"/>
        <c:grouping val="clustered"/>
        <c:varyColors val="0"/>
        <c:ser>
          <c:idx val="0"/>
          <c:order val="0"/>
          <c:tx>
            <c:strRef>
              <c:f>Dashbord!$H$6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Dashbord!$G$7:$G$13</c:f>
              <c:strCache>
                <c:ptCount val="6"/>
                <c:pt idx="0">
                  <c:v>Kolkata</c:v>
                </c:pt>
                <c:pt idx="1">
                  <c:v>Delhi</c:v>
                </c:pt>
                <c:pt idx="2">
                  <c:v>Mumbai</c:v>
                </c:pt>
                <c:pt idx="3">
                  <c:v>Chennai</c:v>
                </c:pt>
                <c:pt idx="4">
                  <c:v>Hyderabad</c:v>
                </c:pt>
                <c:pt idx="5">
                  <c:v>Pune</c:v>
                </c:pt>
              </c:strCache>
            </c:strRef>
          </c:cat>
          <c:val>
            <c:numRef>
              <c:f>Dashbord!$H$7:$H$13</c:f>
              <c:numCache>
                <c:formatCode>General</c:formatCode>
                <c:ptCount val="6"/>
                <c:pt idx="0">
                  <c:v>15</c:v>
                </c:pt>
                <c:pt idx="1">
                  <c:v>13</c:v>
                </c:pt>
                <c:pt idx="2">
                  <c:v>11</c:v>
                </c:pt>
                <c:pt idx="3">
                  <c:v>8</c:v>
                </c:pt>
                <c:pt idx="4">
                  <c:v>8</c:v>
                </c:pt>
                <c:pt idx="5">
                  <c:v>5</c:v>
                </c:pt>
              </c:numCache>
            </c:numRef>
          </c:val>
          <c:extLst>
            <c:ext xmlns:c16="http://schemas.microsoft.com/office/drawing/2014/chart" uri="{C3380CC4-5D6E-409C-BE32-E72D297353CC}">
              <c16:uniqueId val="{00000000-4AD3-4A6D-B1EA-4F646A943585}"/>
            </c:ext>
          </c:extLst>
        </c:ser>
        <c:dLbls>
          <c:dLblPos val="outEnd"/>
          <c:showLegendKey val="0"/>
          <c:showVal val="1"/>
          <c:showCatName val="0"/>
          <c:showSerName val="0"/>
          <c:showPercent val="0"/>
          <c:showBubbleSize val="0"/>
        </c:dLbls>
        <c:gapWidth val="219"/>
        <c:overlap val="-27"/>
        <c:axId val="424233583"/>
        <c:axId val="424232623"/>
      </c:barChart>
      <c:catAx>
        <c:axId val="42423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2623"/>
        <c:crosses val="autoZero"/>
        <c:auto val="1"/>
        <c:lblAlgn val="ctr"/>
        <c:lblOffset val="100"/>
        <c:noMultiLvlLbl val="0"/>
      </c:catAx>
      <c:valAx>
        <c:axId val="42423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33583"/>
        <c:crosses val="autoZero"/>
        <c:crossBetween val="between"/>
      </c:valAx>
      <c:spPr>
        <a:noFill/>
        <a:ln>
          <a:solidFill>
            <a:schemeClr val="tx2">
              <a:lumMod val="40000"/>
              <a:lumOff val="60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41275" cap="flat" cmpd="sng" algn="ctr">
      <a:solidFill>
        <a:schemeClr val="tx1">
          <a:lumMod val="15000"/>
          <a:lumOff val="85000"/>
        </a:schemeClr>
      </a:solidFill>
      <a:round/>
    </a:ln>
    <a:effectLst/>
  </c:spPr>
  <c:txPr>
    <a:bodyPr/>
    <a:lstStyle/>
    <a:p>
      <a:pPr>
        <a:defRPr/>
      </a:pPr>
      <a:endParaRPr lang="en-US"/>
    </a:p>
  </c:txPr>
  <c:printSettings>
    <c:headerFooter/>
    <c:pageMargins b="0.75" l="0.25" r="0.25"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tables.xlsx]Dashbord!PivotTable15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Toppers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6185476815398"/>
          <c:y val="0.18183321331484673"/>
          <c:w val="0.66824759405074363"/>
          <c:h val="0.72190835520559926"/>
        </c:manualLayout>
      </c:layout>
      <c:barChart>
        <c:barDir val="bar"/>
        <c:grouping val="clustered"/>
        <c:varyColors val="0"/>
        <c:ser>
          <c:idx val="0"/>
          <c:order val="0"/>
          <c:tx>
            <c:strRef>
              <c:f>Dashbord!$K$6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Dashbord!$J$7:$J$12</c:f>
              <c:strCache>
                <c:ptCount val="5"/>
                <c:pt idx="0">
                  <c:v>Aarti</c:v>
                </c:pt>
                <c:pt idx="1">
                  <c:v>Rahul</c:v>
                </c:pt>
                <c:pt idx="2">
                  <c:v>Ramesh</c:v>
                </c:pt>
                <c:pt idx="3">
                  <c:v>Simran</c:v>
                </c:pt>
                <c:pt idx="4">
                  <c:v>Tina</c:v>
                </c:pt>
              </c:strCache>
            </c:strRef>
          </c:cat>
          <c:val>
            <c:numRef>
              <c:f>Dashbord!$K$7:$K$12</c:f>
              <c:numCache>
                <c:formatCode>General</c:formatCode>
                <c:ptCount val="5"/>
                <c:pt idx="0">
                  <c:v>95</c:v>
                </c:pt>
                <c:pt idx="1">
                  <c:v>92</c:v>
                </c:pt>
                <c:pt idx="2">
                  <c:v>92</c:v>
                </c:pt>
                <c:pt idx="3">
                  <c:v>92</c:v>
                </c:pt>
                <c:pt idx="4">
                  <c:v>91</c:v>
                </c:pt>
              </c:numCache>
            </c:numRef>
          </c:val>
          <c:extLst>
            <c:ext xmlns:c16="http://schemas.microsoft.com/office/drawing/2014/chart" uri="{C3380CC4-5D6E-409C-BE32-E72D297353CC}">
              <c16:uniqueId val="{00000000-C8DC-4B94-A997-5ACC156A8E20}"/>
            </c:ext>
          </c:extLst>
        </c:ser>
        <c:dLbls>
          <c:dLblPos val="inEnd"/>
          <c:showLegendKey val="0"/>
          <c:showVal val="1"/>
          <c:showCatName val="0"/>
          <c:showSerName val="0"/>
          <c:showPercent val="0"/>
          <c:showBubbleSize val="0"/>
        </c:dLbls>
        <c:gapWidth val="182"/>
        <c:axId val="424227823"/>
        <c:axId val="424211503"/>
      </c:barChart>
      <c:catAx>
        <c:axId val="4242278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11503"/>
        <c:crosses val="autoZero"/>
        <c:auto val="1"/>
        <c:lblAlgn val="ctr"/>
        <c:lblOffset val="100"/>
        <c:noMultiLvlLbl val="0"/>
      </c:catAx>
      <c:valAx>
        <c:axId val="42421150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2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28755</xdr:rowOff>
    </xdr:from>
    <xdr:to>
      <xdr:col>1</xdr:col>
      <xdr:colOff>467264</xdr:colOff>
      <xdr:row>4</xdr:row>
      <xdr:rowOff>1</xdr:rowOff>
    </xdr:to>
    <xdr:sp macro="" textlink="$A$3">
      <xdr:nvSpPr>
        <xdr:cNvPr id="2" name="Rectangle 1">
          <a:extLst>
            <a:ext uri="{FF2B5EF4-FFF2-40B4-BE49-F238E27FC236}">
              <a16:creationId xmlns:a16="http://schemas.microsoft.com/office/drawing/2014/main" id="{B220B166-9D17-A274-3A4F-7B14F09B5E95}"/>
            </a:ext>
          </a:extLst>
        </xdr:cNvPr>
        <xdr:cNvSpPr/>
      </xdr:nvSpPr>
      <xdr:spPr>
        <a:xfrm>
          <a:off x="0" y="28755"/>
          <a:ext cx="2063151" cy="992038"/>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70132C-CF82-43FB-A6E7-471C4EE0D2A0}" type="TxLink">
            <a:rPr lang="en-US" sz="3200" b="0" i="0" u="none" strike="noStrike">
              <a:solidFill>
                <a:srgbClr val="000000"/>
              </a:solidFill>
              <a:latin typeface="Calibri"/>
              <a:ea typeface="Calibri"/>
              <a:cs typeface="Calibri"/>
            </a:rPr>
            <a:pPr algn="ctr"/>
            <a:t>60</a:t>
          </a:fld>
          <a:r>
            <a:rPr lang="en-IN" sz="1100" baseline="0">
              <a:solidFill>
                <a:schemeClr val="tx1"/>
              </a:solidFill>
            </a:rPr>
            <a:t> </a:t>
          </a:r>
        </a:p>
        <a:p>
          <a:pPr algn="ctr"/>
          <a:r>
            <a:rPr lang="en-IN" sz="1100" baseline="0">
              <a:solidFill>
                <a:schemeClr val="tx1"/>
              </a:solidFill>
            </a:rPr>
            <a:t>Total STudents</a:t>
          </a:r>
          <a:endParaRPr lang="en-IN" sz="1100">
            <a:solidFill>
              <a:schemeClr val="tx1"/>
            </a:solidFill>
          </a:endParaRPr>
        </a:p>
      </xdr:txBody>
    </xdr:sp>
    <xdr:clientData/>
  </xdr:twoCellAnchor>
  <xdr:twoCellAnchor>
    <xdr:from>
      <xdr:col>1</xdr:col>
      <xdr:colOff>496019</xdr:colOff>
      <xdr:row>0</xdr:row>
      <xdr:rowOff>28755</xdr:rowOff>
    </xdr:from>
    <xdr:to>
      <xdr:col>3</xdr:col>
      <xdr:colOff>1488058</xdr:colOff>
      <xdr:row>3</xdr:row>
      <xdr:rowOff>172529</xdr:rowOff>
    </xdr:to>
    <xdr:sp macro="" textlink="$D$3">
      <xdr:nvSpPr>
        <xdr:cNvPr id="5" name="Rectangle 4">
          <a:extLst>
            <a:ext uri="{FF2B5EF4-FFF2-40B4-BE49-F238E27FC236}">
              <a16:creationId xmlns:a16="http://schemas.microsoft.com/office/drawing/2014/main" id="{685B52CB-2E3E-44DA-A574-759343126D7A}"/>
            </a:ext>
          </a:extLst>
        </xdr:cNvPr>
        <xdr:cNvSpPr/>
      </xdr:nvSpPr>
      <xdr:spPr>
        <a:xfrm>
          <a:off x="2091906" y="28755"/>
          <a:ext cx="2214114" cy="98484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7E0DE25-BCB8-4FFF-BA5B-EC40A3E18535}" type="TxLink">
            <a:rPr lang="en-US" sz="3200" b="0" i="0" u="none" strike="noStrike" baseline="0">
              <a:solidFill>
                <a:srgbClr val="000000"/>
              </a:solidFill>
              <a:latin typeface="Calibri"/>
              <a:ea typeface="Calibri"/>
              <a:cs typeface="Calibri"/>
            </a:rPr>
            <a:t>64</a:t>
          </a:fld>
          <a:endParaRPr lang="en-US" sz="3200" b="0" i="0" u="none" strike="noStrike" baseline="0">
            <a:solidFill>
              <a:srgbClr val="000000"/>
            </a:solidFill>
            <a:latin typeface="Calibri"/>
            <a:ea typeface="Calibri"/>
            <a:cs typeface="Calibri"/>
          </a:endParaRPr>
        </a:p>
        <a:p>
          <a:pPr algn="ctr"/>
          <a:r>
            <a:rPr lang="en-IN" sz="1100">
              <a:solidFill>
                <a:schemeClr val="tx1"/>
              </a:solidFill>
            </a:rPr>
            <a:t>Average </a:t>
          </a:r>
          <a:r>
            <a:rPr lang="en-IN" sz="1100" baseline="0">
              <a:solidFill>
                <a:schemeClr val="tx1"/>
              </a:solidFill>
            </a:rPr>
            <a:t> Marks</a:t>
          </a:r>
          <a:endParaRPr lang="en-IN" sz="1100">
            <a:solidFill>
              <a:schemeClr val="tx1"/>
            </a:solidFill>
          </a:endParaRPr>
        </a:p>
      </xdr:txBody>
    </xdr:sp>
    <xdr:clientData/>
  </xdr:twoCellAnchor>
  <xdr:twoCellAnchor>
    <xdr:from>
      <xdr:col>3</xdr:col>
      <xdr:colOff>1516812</xdr:colOff>
      <xdr:row>0</xdr:row>
      <xdr:rowOff>35944</xdr:rowOff>
    </xdr:from>
    <xdr:to>
      <xdr:col>7</xdr:col>
      <xdr:colOff>186907</xdr:colOff>
      <xdr:row>3</xdr:row>
      <xdr:rowOff>172529</xdr:rowOff>
    </xdr:to>
    <xdr:sp macro="" textlink="$G$3">
      <xdr:nvSpPr>
        <xdr:cNvPr id="6" name="Rectangle 5">
          <a:extLst>
            <a:ext uri="{FF2B5EF4-FFF2-40B4-BE49-F238E27FC236}">
              <a16:creationId xmlns:a16="http://schemas.microsoft.com/office/drawing/2014/main" id="{4AF31C5B-BB3B-8696-76D6-95AB78A6B58E}"/>
            </a:ext>
          </a:extLst>
        </xdr:cNvPr>
        <xdr:cNvSpPr/>
      </xdr:nvSpPr>
      <xdr:spPr>
        <a:xfrm>
          <a:off x="4334774" y="35944"/>
          <a:ext cx="2278812" cy="977660"/>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0CBD046-94C6-489E-8B63-762274A0C32A}" type="TxLink">
            <a:rPr lang="en-US" sz="3200" b="0" i="0" u="none" strike="noStrike" baseline="0">
              <a:solidFill>
                <a:srgbClr val="000000"/>
              </a:solidFill>
              <a:latin typeface="Calibri"/>
              <a:ea typeface="Calibri"/>
              <a:cs typeface="Calibri"/>
            </a:rPr>
            <a:t>88%</a:t>
          </a:fld>
          <a:endParaRPr lang="en-US" sz="2000" b="0" i="0" u="none" strike="noStrike" baseline="0">
            <a:solidFill>
              <a:srgbClr val="000000"/>
            </a:solidFill>
            <a:latin typeface="Calibri"/>
            <a:ea typeface="Calibri"/>
            <a:cs typeface="Calibri"/>
          </a:endParaRPr>
        </a:p>
        <a:p>
          <a:pPr algn="ctr"/>
          <a:r>
            <a:rPr lang="en-US" sz="1100" b="0" i="0" u="none" strike="noStrike" baseline="0">
              <a:solidFill>
                <a:srgbClr val="000000"/>
              </a:solidFill>
              <a:latin typeface="Calibri"/>
              <a:ea typeface="Calibri"/>
              <a:cs typeface="Calibri"/>
            </a:rPr>
            <a:t>Pass</a:t>
          </a:r>
          <a:endParaRPr lang="en-IN" sz="1100">
            <a:solidFill>
              <a:schemeClr val="tx1"/>
            </a:solidFill>
          </a:endParaRPr>
        </a:p>
      </xdr:txBody>
    </xdr:sp>
    <xdr:clientData/>
  </xdr:twoCellAnchor>
  <xdr:twoCellAnchor>
    <xdr:from>
      <xdr:col>7</xdr:col>
      <xdr:colOff>199286</xdr:colOff>
      <xdr:row>0</xdr:row>
      <xdr:rowOff>0</xdr:rowOff>
    </xdr:from>
    <xdr:to>
      <xdr:col>9</xdr:col>
      <xdr:colOff>1087741</xdr:colOff>
      <xdr:row>3</xdr:row>
      <xdr:rowOff>151567</xdr:rowOff>
    </xdr:to>
    <xdr:sp macro="" textlink="$J$3">
      <xdr:nvSpPr>
        <xdr:cNvPr id="7" name="Rectangle 6">
          <a:extLst>
            <a:ext uri="{FF2B5EF4-FFF2-40B4-BE49-F238E27FC236}">
              <a16:creationId xmlns:a16="http://schemas.microsoft.com/office/drawing/2014/main" id="{A74D3C1F-6CE3-E6BA-EE89-02127597AF5F}"/>
            </a:ext>
          </a:extLst>
        </xdr:cNvPr>
        <xdr:cNvSpPr/>
      </xdr:nvSpPr>
      <xdr:spPr>
        <a:xfrm>
          <a:off x="6621026" y="0"/>
          <a:ext cx="2109982" cy="983369"/>
        </a:xfrm>
        <a:prstGeom prst="rect">
          <a:avLst/>
        </a:prstGeom>
        <a:solidFill>
          <a:schemeClr val="tx2">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FDE6A9E-7997-47B8-BEDB-C8AD6A908A15}" type="TxLink">
            <a:rPr lang="en-US" sz="3200" b="0" i="0" u="none" strike="noStrike" baseline="0">
              <a:solidFill>
                <a:srgbClr val="000000"/>
              </a:solidFill>
              <a:latin typeface="Calibri"/>
              <a:ea typeface="Calibri"/>
              <a:cs typeface="Calibri"/>
            </a:rPr>
            <a:t>95</a:t>
          </a:fld>
          <a:endParaRPr lang="en-US" sz="3200" b="0" i="0" u="none" strike="noStrike" baseline="0">
            <a:solidFill>
              <a:srgbClr val="000000"/>
            </a:solidFill>
            <a:latin typeface="Calibri"/>
            <a:ea typeface="Calibri"/>
            <a:cs typeface="Calibri"/>
          </a:endParaRPr>
        </a:p>
        <a:p>
          <a:pPr algn="ctr"/>
          <a:r>
            <a:rPr lang="en-IN" sz="1100">
              <a:solidFill>
                <a:schemeClr val="tx1"/>
              </a:solidFill>
            </a:rPr>
            <a:t>Top Score</a:t>
          </a:r>
        </a:p>
      </xdr:txBody>
    </xdr:sp>
    <xdr:clientData/>
  </xdr:twoCellAnchor>
  <xdr:twoCellAnchor editAs="oneCell">
    <xdr:from>
      <xdr:col>0</xdr:col>
      <xdr:colOff>0</xdr:colOff>
      <xdr:row>0</xdr:row>
      <xdr:rowOff>0</xdr:rowOff>
    </xdr:from>
    <xdr:to>
      <xdr:col>0</xdr:col>
      <xdr:colOff>724437</xdr:colOff>
      <xdr:row>2</xdr:row>
      <xdr:rowOff>214648</xdr:rowOff>
    </xdr:to>
    <xdr:pic>
      <xdr:nvPicPr>
        <xdr:cNvPr id="9" name="Graphic 8" descr="Users with solid fill">
          <a:extLst>
            <a:ext uri="{FF2B5EF4-FFF2-40B4-BE49-F238E27FC236}">
              <a16:creationId xmlns:a16="http://schemas.microsoft.com/office/drawing/2014/main" id="{4B7B84FB-D002-993F-17D0-69EAD8EE2A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724437" cy="724437"/>
        </a:xfrm>
        <a:prstGeom prst="rect">
          <a:avLst/>
        </a:prstGeom>
      </xdr:spPr>
    </xdr:pic>
    <xdr:clientData/>
  </xdr:twoCellAnchor>
  <xdr:twoCellAnchor editAs="oneCell">
    <xdr:from>
      <xdr:col>1</xdr:col>
      <xdr:colOff>590687</xdr:colOff>
      <xdr:row>0</xdr:row>
      <xdr:rowOff>57509</xdr:rowOff>
    </xdr:from>
    <xdr:to>
      <xdr:col>2</xdr:col>
      <xdr:colOff>539411</xdr:colOff>
      <xdr:row>2</xdr:row>
      <xdr:rowOff>107830</xdr:rowOff>
    </xdr:to>
    <xdr:pic>
      <xdr:nvPicPr>
        <xdr:cNvPr id="11" name="Graphic 10" descr="Bar chart with solid fill">
          <a:extLst>
            <a:ext uri="{FF2B5EF4-FFF2-40B4-BE49-F238E27FC236}">
              <a16:creationId xmlns:a16="http://schemas.microsoft.com/office/drawing/2014/main" id="{F888BC5B-1E01-3116-9F0D-BE2D606B49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86574" y="57509"/>
          <a:ext cx="559762" cy="560717"/>
        </a:xfrm>
        <a:prstGeom prst="rect">
          <a:avLst/>
        </a:prstGeom>
      </xdr:spPr>
    </xdr:pic>
    <xdr:clientData/>
  </xdr:twoCellAnchor>
  <xdr:twoCellAnchor editAs="oneCell">
    <xdr:from>
      <xdr:col>3</xdr:col>
      <xdr:colOff>1634463</xdr:colOff>
      <xdr:row>0</xdr:row>
      <xdr:rowOff>0</xdr:rowOff>
    </xdr:from>
    <xdr:to>
      <xdr:col>5</xdr:col>
      <xdr:colOff>76950</xdr:colOff>
      <xdr:row>2</xdr:row>
      <xdr:rowOff>220014</xdr:rowOff>
    </xdr:to>
    <xdr:pic>
      <xdr:nvPicPr>
        <xdr:cNvPr id="13" name="Graphic 12" descr="Checkbox Checked with solid fill">
          <a:extLst>
            <a:ext uri="{FF2B5EF4-FFF2-40B4-BE49-F238E27FC236}">
              <a16:creationId xmlns:a16="http://schemas.microsoft.com/office/drawing/2014/main" id="{05375E87-4911-F2FB-878E-694C8B55E57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452425" y="0"/>
          <a:ext cx="706921" cy="730410"/>
        </a:xfrm>
        <a:prstGeom prst="rect">
          <a:avLst/>
        </a:prstGeom>
      </xdr:spPr>
    </xdr:pic>
    <xdr:clientData/>
  </xdr:twoCellAnchor>
  <xdr:twoCellAnchor editAs="oneCell">
    <xdr:from>
      <xdr:col>7</xdr:col>
      <xdr:colOff>486096</xdr:colOff>
      <xdr:row>0</xdr:row>
      <xdr:rowOff>87581</xdr:rowOff>
    </xdr:from>
    <xdr:to>
      <xdr:col>8</xdr:col>
      <xdr:colOff>453899</xdr:colOff>
      <xdr:row>2</xdr:row>
      <xdr:rowOff>157341</xdr:rowOff>
    </xdr:to>
    <xdr:pic>
      <xdr:nvPicPr>
        <xdr:cNvPr id="15" name="Graphic 14" descr="Trophy outline">
          <a:extLst>
            <a:ext uri="{FF2B5EF4-FFF2-40B4-BE49-F238E27FC236}">
              <a16:creationId xmlns:a16="http://schemas.microsoft.com/office/drawing/2014/main" id="{1B6BC10E-1235-2438-BC26-F54353A14B4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12775" y="87581"/>
          <a:ext cx="578841" cy="580156"/>
        </a:xfrm>
        <a:prstGeom prst="rect">
          <a:avLst/>
        </a:prstGeom>
      </xdr:spPr>
    </xdr:pic>
    <xdr:clientData/>
  </xdr:twoCellAnchor>
  <xdr:twoCellAnchor>
    <xdr:from>
      <xdr:col>0</xdr:col>
      <xdr:colOff>71887</xdr:colOff>
      <xdr:row>5</xdr:row>
      <xdr:rowOff>20305</xdr:rowOff>
    </xdr:from>
    <xdr:to>
      <xdr:col>3</xdr:col>
      <xdr:colOff>247115</xdr:colOff>
      <xdr:row>16</xdr:row>
      <xdr:rowOff>129396</xdr:rowOff>
    </xdr:to>
    <xdr:graphicFrame macro="">
      <xdr:nvGraphicFramePr>
        <xdr:cNvPr id="16" name="Chart 1">
          <a:extLst>
            <a:ext uri="{FF2B5EF4-FFF2-40B4-BE49-F238E27FC236}">
              <a16:creationId xmlns:a16="http://schemas.microsoft.com/office/drawing/2014/main" id="{62DC1AFF-4634-CCDE-7F56-EF2B9E494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322639</xdr:colOff>
      <xdr:row>5</xdr:row>
      <xdr:rowOff>20306</xdr:rowOff>
    </xdr:from>
    <xdr:to>
      <xdr:col>6</xdr:col>
      <xdr:colOff>718868</xdr:colOff>
      <xdr:row>16</xdr:row>
      <xdr:rowOff>158151</xdr:rowOff>
    </xdr:to>
    <xdr:graphicFrame macro="">
      <xdr:nvGraphicFramePr>
        <xdr:cNvPr id="17" name="Chart 3">
          <a:extLst>
            <a:ext uri="{FF2B5EF4-FFF2-40B4-BE49-F238E27FC236}">
              <a16:creationId xmlns:a16="http://schemas.microsoft.com/office/drawing/2014/main" id="{A9909344-8356-65AB-FA3D-53CDDE6A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71058</xdr:colOff>
      <xdr:row>17</xdr:row>
      <xdr:rowOff>43133</xdr:rowOff>
    </xdr:from>
    <xdr:to>
      <xdr:col>3</xdr:col>
      <xdr:colOff>258791</xdr:colOff>
      <xdr:row>30</xdr:row>
      <xdr:rowOff>57727</xdr:rowOff>
    </xdr:to>
    <xdr:graphicFrame macro="">
      <xdr:nvGraphicFramePr>
        <xdr:cNvPr id="18" name="Chart 5">
          <a:extLst>
            <a:ext uri="{FF2B5EF4-FFF2-40B4-BE49-F238E27FC236}">
              <a16:creationId xmlns:a16="http://schemas.microsoft.com/office/drawing/2014/main" id="{926ADBE1-FCB9-0BE7-0D44-6FDCDE1F1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314866</xdr:colOff>
      <xdr:row>17</xdr:row>
      <xdr:rowOff>14378</xdr:rowOff>
    </xdr:from>
    <xdr:to>
      <xdr:col>6</xdr:col>
      <xdr:colOff>711679</xdr:colOff>
      <xdr:row>30</xdr:row>
      <xdr:rowOff>57509</xdr:rowOff>
    </xdr:to>
    <xdr:graphicFrame macro="">
      <xdr:nvGraphicFramePr>
        <xdr:cNvPr id="19" name="Chart 6">
          <a:extLst>
            <a:ext uri="{FF2B5EF4-FFF2-40B4-BE49-F238E27FC236}">
              <a16:creationId xmlns:a16="http://schemas.microsoft.com/office/drawing/2014/main" id="{3CEEBB8F-D0BA-58E3-1DFE-61A4484891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330680</xdr:colOff>
      <xdr:row>4</xdr:row>
      <xdr:rowOff>50320</xdr:rowOff>
    </xdr:from>
    <xdr:to>
      <xdr:col>9</xdr:col>
      <xdr:colOff>937404</xdr:colOff>
      <xdr:row>14</xdr:row>
      <xdr:rowOff>35943</xdr:rowOff>
    </xdr:to>
    <mc:AlternateContent xmlns:mc="http://schemas.openxmlformats.org/markup-compatibility/2006">
      <mc:Choice xmlns:a14="http://schemas.microsoft.com/office/drawing/2010/main" Requires="a14">
        <xdr:graphicFrame macro="">
          <xdr:nvGraphicFramePr>
            <xdr:cNvPr id="20" name="Brnach">
              <a:extLst>
                <a:ext uri="{FF2B5EF4-FFF2-40B4-BE49-F238E27FC236}">
                  <a16:creationId xmlns:a16="http://schemas.microsoft.com/office/drawing/2014/main" id="{165B9A96-0A41-490E-B10A-102B7C62C8DA}"/>
                </a:ext>
              </a:extLst>
            </xdr:cNvPr>
            <xdr:cNvGraphicFramePr/>
          </xdr:nvGraphicFramePr>
          <xdr:xfrm>
            <a:off x="0" y="0"/>
            <a:ext cx="0" cy="0"/>
          </xdr:xfrm>
          <a:graphic>
            <a:graphicData uri="http://schemas.microsoft.com/office/drawing/2010/slicer">
              <sle:slicer xmlns:sle="http://schemas.microsoft.com/office/drawing/2010/slicer" name="Brnach"/>
            </a:graphicData>
          </a:graphic>
        </xdr:graphicFrame>
      </mc:Choice>
      <mc:Fallback>
        <xdr:sp macro="" textlink="">
          <xdr:nvSpPr>
            <xdr:cNvPr id="0" name=""/>
            <xdr:cNvSpPr>
              <a:spLocks noTextEdit="1"/>
            </xdr:cNvSpPr>
          </xdr:nvSpPr>
          <xdr:spPr>
            <a:xfrm>
              <a:off x="6752420" y="1062442"/>
              <a:ext cx="1828251" cy="17888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337868</xdr:colOff>
      <xdr:row>14</xdr:row>
      <xdr:rowOff>93453</xdr:rowOff>
    </xdr:from>
    <xdr:to>
      <xdr:col>9</xdr:col>
      <xdr:colOff>944592</xdr:colOff>
      <xdr:row>25</xdr:row>
      <xdr:rowOff>57509</xdr:rowOff>
    </xdr:to>
    <mc:AlternateContent xmlns:mc="http://schemas.openxmlformats.org/markup-compatibility/2006">
      <mc:Choice xmlns:a14="http://schemas.microsoft.com/office/drawing/2010/main" Requires="a14">
        <xdr:graphicFrame macro="">
          <xdr:nvGraphicFramePr>
            <xdr:cNvPr id="21" name="City">
              <a:extLst>
                <a:ext uri="{FF2B5EF4-FFF2-40B4-BE49-F238E27FC236}">
                  <a16:creationId xmlns:a16="http://schemas.microsoft.com/office/drawing/2014/main" id="{06EA6E0E-CED2-4C28-86FD-D8EC3A967CF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759608" y="2908781"/>
              <a:ext cx="1828251" cy="1947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316303</xdr:colOff>
      <xdr:row>25</xdr:row>
      <xdr:rowOff>115019</xdr:rowOff>
    </xdr:from>
    <xdr:to>
      <xdr:col>9</xdr:col>
      <xdr:colOff>923027</xdr:colOff>
      <xdr:row>31</xdr:row>
      <xdr:rowOff>129396</xdr:rowOff>
    </xdr:to>
    <mc:AlternateContent xmlns:mc="http://schemas.openxmlformats.org/markup-compatibility/2006">
      <mc:Choice xmlns:a14="http://schemas.microsoft.com/office/drawing/2010/main" Requires="a14">
        <xdr:graphicFrame macro="">
          <xdr:nvGraphicFramePr>
            <xdr:cNvPr id="22" name="Result">
              <a:extLst>
                <a:ext uri="{FF2B5EF4-FFF2-40B4-BE49-F238E27FC236}">
                  <a16:creationId xmlns:a16="http://schemas.microsoft.com/office/drawing/2014/main" id="{E439DA20-1079-4803-8CC0-3823DF60405B}"/>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6738043" y="4913874"/>
              <a:ext cx="1828251" cy="1096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singh" refreshedDate="46062.829583564817" createdVersion="8" refreshedVersion="8" minRefreshableVersion="3" recordCount="60" xr:uid="{3C7B39D0-F244-4ED1-A4D0-80B49701699F}">
  <cacheSource type="worksheet">
    <worksheetSource name="Table8"/>
  </cacheSource>
  <cacheFields count="9">
    <cacheField name="ID" numFmtId="0">
      <sharedItems containsSemiMixedTypes="0" containsString="0" containsNumber="1" containsInteger="1" minValue="300" maxValue="359"/>
    </cacheField>
    <cacheField name="Name" numFmtId="0">
      <sharedItems count="34">
        <s v="Ramesh"/>
        <s v="Tina"/>
        <s v="Priya"/>
        <s v="Nikita"/>
        <s v="Akash"/>
        <s v="Seema"/>
        <s v="Kavya"/>
        <s v="Simran"/>
        <s v="Aryan"/>
        <s v="Kunal"/>
        <s v="Rahul"/>
        <s v="Manish"/>
        <s v="Mohit"/>
        <s v="Karan"/>
        <s v="Nitin"/>
        <s v="Imran"/>
        <s v="Aarti"/>
        <s v="Kriti"/>
        <s v="Arpit"/>
        <s v="Megha"/>
        <s v="Deepak"/>
        <s v="Ved"/>
        <s v="Sneha"/>
        <s v="Neha"/>
        <s v="Pooja"/>
        <s v="Kiran"/>
        <s v="Sara"/>
        <s v="Nisha"/>
        <s v="Sachin"/>
        <s v="Sonia"/>
        <s v="Ankit"/>
        <s v="Anjali"/>
        <s v="Arjun"/>
        <s v="Raj"/>
      </sharedItems>
    </cacheField>
    <cacheField name="Brnach" numFmtId="0">
      <sharedItems count="5">
        <s v="CSE"/>
        <s v="IT"/>
        <s v="MECH"/>
        <s v="EEE"/>
        <s v="CIVIL"/>
      </sharedItems>
    </cacheField>
    <cacheField name="Marks" numFmtId="0">
      <sharedItems containsSemiMixedTypes="0" containsString="0" containsNumber="1" containsInteger="1" minValue="20" maxValue="95" count="42">
        <n v="81"/>
        <n v="82"/>
        <n v="65"/>
        <n v="78"/>
        <n v="44"/>
        <n v="75"/>
        <n v="24"/>
        <n v="92"/>
        <n v="64"/>
        <n v="54"/>
        <n v="61"/>
        <n v="77"/>
        <n v="86"/>
        <n v="89"/>
        <n v="20"/>
        <n v="62"/>
        <n v="95"/>
        <n v="57"/>
        <n v="74"/>
        <n v="83"/>
        <n v="73"/>
        <n v="91"/>
        <n v="76"/>
        <n v="66"/>
        <n v="41"/>
        <n v="38"/>
        <n v="39"/>
        <n v="26"/>
        <n v="42"/>
        <n v="70"/>
        <n v="32"/>
        <n v="69"/>
        <n v="56"/>
        <n v="36"/>
        <n v="87"/>
        <n v="53"/>
        <n v="27"/>
        <n v="67"/>
        <n v="71"/>
        <n v="80"/>
        <n v="60"/>
        <n v="30"/>
      </sharedItems>
    </cacheField>
    <cacheField name="City" numFmtId="0">
      <sharedItems count="6">
        <s v="Chennai"/>
        <s v="Kolkata"/>
        <s v="Mumbai"/>
        <s v="Delhi"/>
        <s v="Pune"/>
        <s v="Hyderabad"/>
      </sharedItems>
    </cacheField>
    <cacheField name="Phone" numFmtId="0">
      <sharedItems containsSemiMixedTypes="0" containsString="0" containsNumber="1" containsInteger="1" minValue="9105377912" maxValue="9997217880"/>
    </cacheField>
    <cacheField name="count" numFmtId="0">
      <sharedItems containsSemiMixedTypes="0" containsString="0" containsNumber="1" containsInteger="1" minValue="1" maxValue="1"/>
    </cacheField>
    <cacheField name="Grade" numFmtId="0">
      <sharedItems count="5">
        <s v="B"/>
        <s v="C"/>
        <s v="F"/>
        <s v="A"/>
        <s v="D"/>
      </sharedItems>
    </cacheField>
    <cacheField name="Result" numFmtId="0">
      <sharedItems count="2">
        <s v="Pass"/>
        <s v="Fail"/>
      </sharedItems>
    </cacheField>
  </cacheFields>
  <extLst>
    <ext xmlns:x14="http://schemas.microsoft.com/office/spreadsheetml/2009/9/main" uri="{725AE2AE-9491-48be-B2B4-4EB974FC3084}">
      <x14:pivotCacheDefinition pivotCacheId="92610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singh" refreshedDate="46062.894043287037" backgroundQuery="1" createdVersion="8" refreshedVersion="8" minRefreshableVersion="3" recordCount="0" supportSubquery="1" supportAdvancedDrill="1" xr:uid="{A9C5D608-39ED-4A87-81EB-694463CFBEC6}">
  <cacheSource type="external" connectionId="1"/>
  <cacheFields count="2">
    <cacheField name="[Table8].[Hod].[Hod]" caption="Hod" numFmtId="0" hierarchy="9" level="1">
      <sharedItems count="5">
        <s v="Dr. Iyer"/>
        <s v="Dr. Khan"/>
        <s v="Dr. Sharma"/>
        <s v="Prof. Singh"/>
        <s v="Prof. Verma"/>
      </sharedItems>
    </cacheField>
    <cacheField name="[Measures].[Count of Name]" caption="Count of Name" numFmtId="0" hierarchy="12" level="32767"/>
  </cacheFields>
  <cacheHierarchies count="13">
    <cacheHierarchy uniqueName="[Table8].[ID]" caption="ID" attribute="1" defaultMemberUniqueName="[Table8].[ID].[All]" allUniqueName="[Table8].[ID].[All]" dimensionUniqueName="[Table8]" displayFolder="" count="0" memberValueDatatype="20" unbalanced="0"/>
    <cacheHierarchy uniqueName="[Table8].[Name]" caption="Name" attribute="1" defaultMemberUniqueName="[Table8].[Name].[All]" allUniqueName="[Table8].[Name].[All]" dimensionUniqueName="[Table8]" displayFolder="" count="0" memberValueDatatype="130" unbalanced="0"/>
    <cacheHierarchy uniqueName="[Table8].[Brnach]" caption="Brnach" attribute="1" defaultMemberUniqueName="[Table8].[Brnach].[All]" allUniqueName="[Table8].[Brnach].[All]" dimensionUniqueName="[Table8]" displayFolder="" count="0" memberValueDatatype="130" unbalanced="0"/>
    <cacheHierarchy uniqueName="[Table8].[Marks]" caption="Marks" attribute="1" defaultMemberUniqueName="[Table8].[Marks].[All]" allUniqueName="[Table8].[Marks].[All]" dimensionUniqueName="[Table8]" displayFolder="" count="0" memberValueDatatype="20" unbalanced="0"/>
    <cacheHierarchy uniqueName="[Table8].[City]" caption="City" attribute="1" defaultMemberUniqueName="[Table8].[City].[All]" allUniqueName="[Table8].[City].[All]" dimensionUniqueName="[Table8]" displayFolder="" count="0" memberValueDatatype="130" unbalanced="0"/>
    <cacheHierarchy uniqueName="[Table8].[Phone]" caption="Phone" attribute="1" defaultMemberUniqueName="[Table8].[Phone].[All]" allUniqueName="[Table8].[Phone].[All]" dimensionUniqueName="[Table8]" displayFolder="" count="0" memberValueDatatype="5" unbalanced="0"/>
    <cacheHierarchy uniqueName="[Table8].[count]" caption="count" attribute="1" defaultMemberUniqueName="[Table8].[count].[All]" allUniqueName="[Table8].[count].[All]" dimensionUniqueName="[Table8]" displayFolder="" count="0" memberValueDatatype="20" unbalanced="0"/>
    <cacheHierarchy uniqueName="[Table8].[Grade]" caption="Grade" attribute="1" defaultMemberUniqueName="[Table8].[Grade].[All]" allUniqueName="[Table8].[Grade].[All]" dimensionUniqueName="[Table8]" displayFolder="" count="0" memberValueDatatype="130" unbalanced="0"/>
    <cacheHierarchy uniqueName="[Table8].[Result]" caption="Result" attribute="1" defaultMemberUniqueName="[Table8].[Result].[All]" allUniqueName="[Table8].[Result].[All]" dimensionUniqueName="[Table8]" displayFolder="" count="0" memberValueDatatype="130" unbalanced="0"/>
    <cacheHierarchy uniqueName="[Table8].[Hod]" caption="Hod" attribute="1" defaultMemberUniqueName="[Table8].[Hod].[All]" allUniqueName="[Table8].[Hod].[All]" dimensionUniqueName="[Table8]" displayFolder="" count="2" memberValueDatatype="130" unbalanced="0">
      <fieldsUsage count="2">
        <fieldUsage x="-1"/>
        <fieldUsage x="0"/>
      </fieldsUsage>
    </cacheHierarchy>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Count of Name]" caption="Count of Name" measure="1" displayFolder="" measureGroup="Table8"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Table8" uniqueName="[Table8]" caption="Table8"/>
  </dimensions>
  <measureGroups count="1">
    <measureGroup name="Table8" caption="Table8"/>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n v="300"/>
    <x v="0"/>
    <x v="0"/>
    <x v="0"/>
    <x v="0"/>
    <n v="9321296288"/>
    <n v="1"/>
    <x v="0"/>
    <x v="0"/>
  </r>
  <r>
    <n v="301"/>
    <x v="1"/>
    <x v="0"/>
    <x v="1"/>
    <x v="1"/>
    <n v="9368431884"/>
    <n v="1"/>
    <x v="0"/>
    <x v="0"/>
  </r>
  <r>
    <n v="302"/>
    <x v="2"/>
    <x v="1"/>
    <x v="2"/>
    <x v="1"/>
    <n v="9404532739"/>
    <n v="1"/>
    <x v="0"/>
    <x v="0"/>
  </r>
  <r>
    <n v="303"/>
    <x v="3"/>
    <x v="2"/>
    <x v="3"/>
    <x v="2"/>
    <n v="9357032624"/>
    <n v="1"/>
    <x v="0"/>
    <x v="0"/>
  </r>
  <r>
    <n v="304"/>
    <x v="4"/>
    <x v="1"/>
    <x v="4"/>
    <x v="2"/>
    <n v="9425194051"/>
    <n v="1"/>
    <x v="1"/>
    <x v="0"/>
  </r>
  <r>
    <n v="305"/>
    <x v="5"/>
    <x v="3"/>
    <x v="5"/>
    <x v="0"/>
    <n v="9801129497"/>
    <n v="1"/>
    <x v="0"/>
    <x v="0"/>
  </r>
  <r>
    <n v="306"/>
    <x v="6"/>
    <x v="4"/>
    <x v="6"/>
    <x v="2"/>
    <n v="9423372648"/>
    <n v="1"/>
    <x v="2"/>
    <x v="1"/>
  </r>
  <r>
    <n v="307"/>
    <x v="7"/>
    <x v="1"/>
    <x v="7"/>
    <x v="0"/>
    <n v="9745645845"/>
    <n v="1"/>
    <x v="3"/>
    <x v="0"/>
  </r>
  <r>
    <n v="308"/>
    <x v="8"/>
    <x v="1"/>
    <x v="8"/>
    <x v="2"/>
    <n v="9544615904"/>
    <n v="1"/>
    <x v="0"/>
    <x v="0"/>
  </r>
  <r>
    <n v="309"/>
    <x v="9"/>
    <x v="1"/>
    <x v="9"/>
    <x v="3"/>
    <n v="9277100620"/>
    <n v="1"/>
    <x v="1"/>
    <x v="0"/>
  </r>
  <r>
    <n v="310"/>
    <x v="10"/>
    <x v="4"/>
    <x v="10"/>
    <x v="4"/>
    <n v="9105377912"/>
    <n v="1"/>
    <x v="0"/>
    <x v="0"/>
  </r>
  <r>
    <n v="311"/>
    <x v="11"/>
    <x v="0"/>
    <x v="11"/>
    <x v="4"/>
    <n v="9269900364"/>
    <n v="1"/>
    <x v="0"/>
    <x v="0"/>
  </r>
  <r>
    <n v="312"/>
    <x v="11"/>
    <x v="3"/>
    <x v="12"/>
    <x v="4"/>
    <n v="9636742075"/>
    <n v="1"/>
    <x v="0"/>
    <x v="0"/>
  </r>
  <r>
    <n v="313"/>
    <x v="12"/>
    <x v="1"/>
    <x v="13"/>
    <x v="0"/>
    <n v="9678389338"/>
    <n v="1"/>
    <x v="0"/>
    <x v="0"/>
  </r>
  <r>
    <n v="314"/>
    <x v="13"/>
    <x v="4"/>
    <x v="14"/>
    <x v="3"/>
    <n v="9169729565"/>
    <n v="1"/>
    <x v="2"/>
    <x v="1"/>
  </r>
  <r>
    <n v="315"/>
    <x v="14"/>
    <x v="4"/>
    <x v="3"/>
    <x v="2"/>
    <n v="9931721977"/>
    <n v="1"/>
    <x v="0"/>
    <x v="0"/>
  </r>
  <r>
    <n v="316"/>
    <x v="15"/>
    <x v="4"/>
    <x v="15"/>
    <x v="0"/>
    <n v="9661984896"/>
    <n v="1"/>
    <x v="0"/>
    <x v="0"/>
  </r>
  <r>
    <n v="317"/>
    <x v="16"/>
    <x v="1"/>
    <x v="16"/>
    <x v="5"/>
    <n v="9774770785"/>
    <n v="1"/>
    <x v="3"/>
    <x v="0"/>
  </r>
  <r>
    <n v="318"/>
    <x v="17"/>
    <x v="1"/>
    <x v="17"/>
    <x v="5"/>
    <n v="9149645403"/>
    <n v="1"/>
    <x v="1"/>
    <x v="0"/>
  </r>
  <r>
    <n v="319"/>
    <x v="13"/>
    <x v="2"/>
    <x v="0"/>
    <x v="2"/>
    <n v="9739018940"/>
    <n v="1"/>
    <x v="0"/>
    <x v="0"/>
  </r>
  <r>
    <n v="320"/>
    <x v="10"/>
    <x v="0"/>
    <x v="4"/>
    <x v="1"/>
    <n v="9203080209"/>
    <n v="1"/>
    <x v="1"/>
    <x v="0"/>
  </r>
  <r>
    <n v="321"/>
    <x v="18"/>
    <x v="3"/>
    <x v="18"/>
    <x v="5"/>
    <n v="9898267772"/>
    <n v="1"/>
    <x v="0"/>
    <x v="0"/>
  </r>
  <r>
    <n v="322"/>
    <x v="19"/>
    <x v="0"/>
    <x v="18"/>
    <x v="2"/>
    <n v="9510000407"/>
    <n v="1"/>
    <x v="0"/>
    <x v="0"/>
  </r>
  <r>
    <n v="323"/>
    <x v="17"/>
    <x v="0"/>
    <x v="8"/>
    <x v="3"/>
    <n v="9590564469"/>
    <n v="1"/>
    <x v="0"/>
    <x v="0"/>
  </r>
  <r>
    <n v="324"/>
    <x v="14"/>
    <x v="2"/>
    <x v="19"/>
    <x v="1"/>
    <n v="9383062032"/>
    <n v="1"/>
    <x v="0"/>
    <x v="0"/>
  </r>
  <r>
    <n v="325"/>
    <x v="20"/>
    <x v="4"/>
    <x v="0"/>
    <x v="0"/>
    <n v="9190140029"/>
    <n v="1"/>
    <x v="0"/>
    <x v="0"/>
  </r>
  <r>
    <n v="326"/>
    <x v="12"/>
    <x v="1"/>
    <x v="20"/>
    <x v="1"/>
    <n v="9170317897"/>
    <n v="1"/>
    <x v="0"/>
    <x v="0"/>
  </r>
  <r>
    <n v="327"/>
    <x v="21"/>
    <x v="2"/>
    <x v="10"/>
    <x v="5"/>
    <n v="9525776887"/>
    <n v="1"/>
    <x v="0"/>
    <x v="0"/>
  </r>
  <r>
    <n v="328"/>
    <x v="1"/>
    <x v="2"/>
    <x v="21"/>
    <x v="3"/>
    <n v="9157250803"/>
    <n v="1"/>
    <x v="3"/>
    <x v="0"/>
  </r>
  <r>
    <n v="329"/>
    <x v="22"/>
    <x v="3"/>
    <x v="22"/>
    <x v="1"/>
    <n v="9963882406"/>
    <n v="1"/>
    <x v="0"/>
    <x v="0"/>
  </r>
  <r>
    <n v="330"/>
    <x v="0"/>
    <x v="1"/>
    <x v="7"/>
    <x v="1"/>
    <n v="9997217880"/>
    <n v="1"/>
    <x v="3"/>
    <x v="0"/>
  </r>
  <r>
    <n v="331"/>
    <x v="23"/>
    <x v="0"/>
    <x v="23"/>
    <x v="1"/>
    <n v="9526305829"/>
    <n v="1"/>
    <x v="0"/>
    <x v="0"/>
  </r>
  <r>
    <n v="332"/>
    <x v="24"/>
    <x v="3"/>
    <x v="24"/>
    <x v="4"/>
    <n v="9676275010"/>
    <n v="1"/>
    <x v="1"/>
    <x v="0"/>
  </r>
  <r>
    <n v="333"/>
    <x v="0"/>
    <x v="2"/>
    <x v="25"/>
    <x v="3"/>
    <n v="9577540267"/>
    <n v="1"/>
    <x v="4"/>
    <x v="0"/>
  </r>
  <r>
    <n v="334"/>
    <x v="25"/>
    <x v="1"/>
    <x v="18"/>
    <x v="4"/>
    <n v="9468666913"/>
    <n v="1"/>
    <x v="0"/>
    <x v="0"/>
  </r>
  <r>
    <n v="335"/>
    <x v="13"/>
    <x v="4"/>
    <x v="26"/>
    <x v="5"/>
    <n v="9301287269"/>
    <n v="1"/>
    <x v="4"/>
    <x v="0"/>
  </r>
  <r>
    <n v="336"/>
    <x v="26"/>
    <x v="3"/>
    <x v="27"/>
    <x v="0"/>
    <n v="9277696808"/>
    <n v="1"/>
    <x v="2"/>
    <x v="1"/>
  </r>
  <r>
    <n v="337"/>
    <x v="10"/>
    <x v="0"/>
    <x v="7"/>
    <x v="5"/>
    <n v="9299261818"/>
    <n v="1"/>
    <x v="3"/>
    <x v="0"/>
  </r>
  <r>
    <n v="338"/>
    <x v="27"/>
    <x v="4"/>
    <x v="8"/>
    <x v="3"/>
    <n v="9627921948"/>
    <n v="1"/>
    <x v="0"/>
    <x v="0"/>
  </r>
  <r>
    <n v="339"/>
    <x v="14"/>
    <x v="2"/>
    <x v="28"/>
    <x v="3"/>
    <n v="9289191471"/>
    <n v="1"/>
    <x v="1"/>
    <x v="0"/>
  </r>
  <r>
    <n v="340"/>
    <x v="15"/>
    <x v="4"/>
    <x v="29"/>
    <x v="3"/>
    <n v="9227108075"/>
    <n v="1"/>
    <x v="0"/>
    <x v="0"/>
  </r>
  <r>
    <n v="341"/>
    <x v="28"/>
    <x v="2"/>
    <x v="30"/>
    <x v="1"/>
    <n v="9660292384"/>
    <n v="1"/>
    <x v="2"/>
    <x v="1"/>
  </r>
  <r>
    <n v="342"/>
    <x v="4"/>
    <x v="1"/>
    <x v="31"/>
    <x v="5"/>
    <n v="9204040174"/>
    <n v="1"/>
    <x v="0"/>
    <x v="0"/>
  </r>
  <r>
    <n v="343"/>
    <x v="12"/>
    <x v="3"/>
    <x v="32"/>
    <x v="2"/>
    <n v="9302402085"/>
    <n v="1"/>
    <x v="1"/>
    <x v="0"/>
  </r>
  <r>
    <n v="344"/>
    <x v="12"/>
    <x v="0"/>
    <x v="5"/>
    <x v="3"/>
    <n v="9291326645"/>
    <n v="1"/>
    <x v="0"/>
    <x v="0"/>
  </r>
  <r>
    <n v="345"/>
    <x v="1"/>
    <x v="0"/>
    <x v="33"/>
    <x v="2"/>
    <n v="9981179562"/>
    <n v="1"/>
    <x v="4"/>
    <x v="0"/>
  </r>
  <r>
    <n v="346"/>
    <x v="29"/>
    <x v="3"/>
    <x v="20"/>
    <x v="1"/>
    <n v="9917039182"/>
    <n v="1"/>
    <x v="0"/>
    <x v="0"/>
  </r>
  <r>
    <n v="347"/>
    <x v="23"/>
    <x v="1"/>
    <x v="31"/>
    <x v="3"/>
    <n v="9810881249"/>
    <n v="1"/>
    <x v="0"/>
    <x v="0"/>
  </r>
  <r>
    <n v="348"/>
    <x v="23"/>
    <x v="3"/>
    <x v="27"/>
    <x v="2"/>
    <n v="9720815308"/>
    <n v="1"/>
    <x v="2"/>
    <x v="1"/>
  </r>
  <r>
    <n v="349"/>
    <x v="19"/>
    <x v="4"/>
    <x v="23"/>
    <x v="0"/>
    <n v="9249296382"/>
    <n v="1"/>
    <x v="0"/>
    <x v="0"/>
  </r>
  <r>
    <n v="350"/>
    <x v="30"/>
    <x v="2"/>
    <x v="34"/>
    <x v="3"/>
    <n v="9923456458"/>
    <n v="1"/>
    <x v="0"/>
    <x v="0"/>
  </r>
  <r>
    <n v="351"/>
    <x v="31"/>
    <x v="0"/>
    <x v="35"/>
    <x v="1"/>
    <n v="9909267074"/>
    <n v="1"/>
    <x v="1"/>
    <x v="0"/>
  </r>
  <r>
    <n v="352"/>
    <x v="23"/>
    <x v="0"/>
    <x v="36"/>
    <x v="1"/>
    <n v="9675070364"/>
    <n v="1"/>
    <x v="2"/>
    <x v="1"/>
  </r>
  <r>
    <n v="353"/>
    <x v="2"/>
    <x v="1"/>
    <x v="37"/>
    <x v="3"/>
    <n v="9862321703"/>
    <n v="1"/>
    <x v="0"/>
    <x v="0"/>
  </r>
  <r>
    <n v="354"/>
    <x v="10"/>
    <x v="1"/>
    <x v="38"/>
    <x v="3"/>
    <n v="9584711250"/>
    <n v="1"/>
    <x v="0"/>
    <x v="0"/>
  </r>
  <r>
    <n v="355"/>
    <x v="10"/>
    <x v="2"/>
    <x v="39"/>
    <x v="1"/>
    <n v="9625890461"/>
    <n v="1"/>
    <x v="0"/>
    <x v="0"/>
  </r>
  <r>
    <n v="356"/>
    <x v="32"/>
    <x v="4"/>
    <x v="2"/>
    <x v="1"/>
    <n v="9704267023"/>
    <n v="1"/>
    <x v="0"/>
    <x v="0"/>
  </r>
  <r>
    <n v="357"/>
    <x v="33"/>
    <x v="2"/>
    <x v="40"/>
    <x v="5"/>
    <n v="9591405297"/>
    <n v="1"/>
    <x v="1"/>
    <x v="0"/>
  </r>
  <r>
    <n v="358"/>
    <x v="23"/>
    <x v="4"/>
    <x v="41"/>
    <x v="1"/>
    <n v="9874636333"/>
    <n v="1"/>
    <x v="2"/>
    <x v="1"/>
  </r>
  <r>
    <n v="359"/>
    <x v="26"/>
    <x v="4"/>
    <x v="0"/>
    <x v="2"/>
    <n v="9810777957"/>
    <n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C8E1EF-9670-41F7-A736-5FE21C5CFBF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J3:K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1E875-5621-4FA1-AADA-D4044023B9A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sult">
  <location ref="G3:H6"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Count_Student" fld="1"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D03E63-A22B-4529-A0BF-088ECED4A58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L13:M19"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5A4629-1C10-407D-B85D-85462754F2D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I13:J19" firstHeaderRow="1" firstDataRow="1"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axis="axisRow" showAll="0">
      <items count="6">
        <item x="3"/>
        <item x="0"/>
        <item x="1"/>
        <item x="4"/>
        <item x="2"/>
        <item t="default"/>
      </items>
    </pivotField>
    <pivotField showAll="0">
      <items count="3">
        <item x="1"/>
        <item x="0"/>
        <item t="default"/>
      </items>
    </pivotField>
  </pivotFields>
  <rowFields count="1">
    <field x="7"/>
  </rowFields>
  <rowItems count="6">
    <i>
      <x/>
    </i>
    <i>
      <x v="1"/>
    </i>
    <i>
      <x v="2"/>
    </i>
    <i>
      <x v="3"/>
    </i>
    <i>
      <x v="4"/>
    </i>
    <i t="grand">
      <x/>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176DCF-124F-41F8-B580-1451A4218F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D3:E9" firstHeaderRow="1" firstDataRow="1" firstDataCol="1"/>
  <pivotFields count="9">
    <pivotField showAll="0"/>
    <pivotField dataField="1" showAll="0"/>
    <pivotField axis="axisRow"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student" fld="1"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CCFAF5-52A2-4F46-A86F-4076CCA8D9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colHeaderCaption="branch_wise">
  <location ref="A13:G21" firstHeaderRow="1" firstDataRow="2" firstDataCol="1"/>
  <pivotFields count="9">
    <pivotField showAll="0"/>
    <pivotField dataField="1"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Col"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Fields count="1">
    <field x="2"/>
  </colFields>
  <colItems count="6">
    <i>
      <x/>
    </i>
    <i>
      <x v="1"/>
    </i>
    <i>
      <x v="2"/>
    </i>
    <i>
      <x v="3"/>
    </i>
    <i>
      <x v="4"/>
    </i>
    <i t="grand">
      <x/>
    </i>
  </colItems>
  <dataFields count="1">
    <dataField name="Count of Name" fld="1" subtotal="count" baseField="0" baseItem="0"/>
  </dataFields>
  <formats count="1">
    <format dxfId="13">
      <pivotArea dataOnly="0" labelOnly="1"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A3C790-FCA5-4678-A6C3-31BD8EEE4A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A3:B10" firstHeaderRow="1" firstDataRow="1" firstDataCol="1"/>
  <pivotFields count="9">
    <pivotField showAll="0"/>
    <pivotField dataField="1" showAll="0"/>
    <pivotField showAll="0">
      <items count="6">
        <item x="4"/>
        <item x="0"/>
        <item x="3"/>
        <item x="1"/>
        <item x="2"/>
        <item t="default"/>
      </items>
    </pivotField>
    <pivotField showAll="0"/>
    <pivotField axis="axisRow"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4"/>
  </rowFields>
  <rowItems count="7">
    <i>
      <x/>
    </i>
    <i>
      <x v="1"/>
    </i>
    <i>
      <x v="2"/>
    </i>
    <i>
      <x v="3"/>
    </i>
    <i>
      <x v="4"/>
    </i>
    <i>
      <x v="5"/>
    </i>
    <i t="grand">
      <x/>
    </i>
  </rowItems>
  <colItems count="1">
    <i/>
  </colItems>
  <dataFields count="1">
    <dataField name="Students" fld="1"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CF441-52A2-41CD-AC87-23EB80B2980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udent_Name">
  <location ref="M3:N9"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629481-C170-4FFE-A603-39735555BD5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Count of Name" fld="1" subtotal="count" baseField="0" baseItem="0"/>
  </dataFields>
  <pivotHierarchies count="1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tudent_dashboard_mini_project_data.xlsx!Table8">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61E8E6-5A15-4FBF-B4AF-7CE08AEF3DF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udent_Name">
  <location ref="D6:E12" firstHeaderRow="1" firstDataRow="1" firstDataCol="1"/>
  <pivotFields count="9">
    <pivotField showAll="0"/>
    <pivotField showAll="0">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axis="axisRow"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2"/>
  </rowFields>
  <rowItems count="6">
    <i>
      <x/>
    </i>
    <i>
      <x v="1"/>
    </i>
    <i>
      <x v="2"/>
    </i>
    <i>
      <x v="3"/>
    </i>
    <i>
      <x v="4"/>
    </i>
    <i t="grand">
      <x/>
    </i>
  </rowItems>
  <colItems count="1">
    <i/>
  </colItems>
  <dataFields count="1">
    <dataField name="Average of Marks" fld="3" subtotal="average" baseField="2"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F4F8837-D70F-4D7A-9E6A-D513FB29B8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Result">
  <location ref="A10:B13" firstHeaderRow="1" firstDataRow="1" firstDataCol="1"/>
  <pivotFields count="9">
    <pivotField showAll="0"/>
    <pivotField dataField="1" showAll="0"/>
    <pivotField showAll="0">
      <items count="6">
        <item x="4"/>
        <item x="0"/>
        <item x="3"/>
        <item x="1"/>
        <item x="2"/>
        <item t="default"/>
      </items>
    </pivotField>
    <pivotField showAll="0"/>
    <pivotField showAll="0" defaultSubtotal="0">
      <items count="6">
        <item x="0"/>
        <item x="3"/>
        <item x="5"/>
        <item x="1"/>
        <item x="2"/>
        <item x="4"/>
      </items>
    </pivotField>
    <pivotField showAll="0"/>
    <pivotField showAll="0"/>
    <pivotField showAll="0"/>
    <pivotField axis="axisRow" showAll="0">
      <items count="3">
        <item x="1"/>
        <item x="0"/>
        <item t="default"/>
      </items>
    </pivotField>
  </pivotFields>
  <rowFields count="1">
    <field x="8"/>
  </rowFields>
  <rowItems count="3">
    <i>
      <x/>
    </i>
    <i>
      <x v="1"/>
    </i>
    <i t="grand">
      <x/>
    </i>
  </rowItems>
  <colItems count="1">
    <i/>
  </colItems>
  <dataFields count="1">
    <dataField name="Pass/Fail" fld="1" subtotal="count" baseField="8" baseItem="0"/>
  </dataFields>
  <chartFormats count="4">
    <chartFormat chart="3"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34" format="3">
      <pivotArea type="data" outline="0" fieldPosition="0">
        <references count="2">
          <reference field="4294967294" count="1" selected="0">
            <x v="0"/>
          </reference>
          <reference field="8" count="1" selected="0">
            <x v="0"/>
          </reference>
        </references>
      </pivotArea>
    </chartFormat>
    <chartFormat chart="34" format="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0ED9-23B0-4180-AA90-BC9BC219CB9D}"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udent_Name">
  <location ref="J6:K12" firstHeaderRow="1" firstDataRow="1" firstDataCol="1"/>
  <pivotFields count="9">
    <pivotField showAll="0"/>
    <pivotField axis="axisRow" showAll="0" measureFilter="1">
      <items count="35">
        <item x="16"/>
        <item x="4"/>
        <item x="31"/>
        <item x="30"/>
        <item x="32"/>
        <item x="18"/>
        <item x="8"/>
        <item x="20"/>
        <item x="15"/>
        <item x="13"/>
        <item x="6"/>
        <item x="25"/>
        <item x="17"/>
        <item x="9"/>
        <item x="11"/>
        <item x="19"/>
        <item x="12"/>
        <item x="23"/>
        <item x="3"/>
        <item x="27"/>
        <item x="14"/>
        <item x="24"/>
        <item x="2"/>
        <item x="10"/>
        <item x="33"/>
        <item x="0"/>
        <item x="28"/>
        <item x="26"/>
        <item x="5"/>
        <item x="7"/>
        <item x="22"/>
        <item x="29"/>
        <item x="1"/>
        <item x="21"/>
        <item t="default"/>
      </items>
    </pivotField>
    <pivotField showAll="0">
      <items count="6">
        <item x="4"/>
        <item x="0"/>
        <item x="3"/>
        <item x="1"/>
        <item x="2"/>
        <item t="default"/>
      </items>
    </pivotField>
    <pivotField dataField="1" showAll="0"/>
    <pivotField showAll="0" defaultSubtotal="0">
      <items count="6">
        <item x="0"/>
        <item x="3"/>
        <item x="5"/>
        <item x="1"/>
        <item x="2"/>
        <item x="4"/>
      </items>
    </pivotField>
    <pivotField showAll="0"/>
    <pivotField showAll="0"/>
    <pivotField showAll="0"/>
    <pivotField showAll="0">
      <items count="3">
        <item x="1"/>
        <item x="0"/>
        <item t="default"/>
      </items>
    </pivotField>
  </pivotFields>
  <rowFields count="1">
    <field x="1"/>
  </rowFields>
  <rowItems count="6">
    <i>
      <x/>
    </i>
    <i>
      <x v="23"/>
    </i>
    <i>
      <x v="25"/>
    </i>
    <i>
      <x v="29"/>
    </i>
    <i>
      <x v="32"/>
    </i>
    <i t="grand">
      <x/>
    </i>
  </rowItems>
  <colItems count="1">
    <i/>
  </colItems>
  <dataFields count="1">
    <dataField name="Max of Marks" fld="3" subtotal="max" baseField="1" baseItem="9"/>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92B323-702A-4132-B2A1-CDDECDF6C4C9}"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ity">
  <location ref="G6:H13" firstHeaderRow="1" firstDataRow="1" firstDataCol="1"/>
  <pivotFields count="9">
    <pivotField showAll="0"/>
    <pivotField dataField="1" showAll="0"/>
    <pivotField showAll="0">
      <items count="6">
        <item x="4"/>
        <item x="0"/>
        <item x="3"/>
        <item x="1"/>
        <item x="2"/>
        <item t="default"/>
      </items>
    </pivotField>
    <pivotField showAll="0"/>
    <pivotField axis="axisRow" showAll="0" sortType="descending" defaultSubtotal="0">
      <items count="6">
        <item x="0"/>
        <item x="3"/>
        <item x="5"/>
        <item x="1"/>
        <item x="2"/>
        <item x="4"/>
      </items>
      <autoSortScope>
        <pivotArea dataOnly="0" outline="0" fieldPosition="0">
          <references count="1">
            <reference field="4294967294" count="1" selected="0">
              <x v="0"/>
            </reference>
          </references>
        </pivotArea>
      </autoSortScope>
    </pivotField>
    <pivotField showAll="0"/>
    <pivotField showAll="0"/>
    <pivotField showAll="0"/>
    <pivotField showAll="0">
      <items count="3">
        <item x="1"/>
        <item x="0"/>
        <item t="default"/>
      </items>
    </pivotField>
  </pivotFields>
  <rowFields count="1">
    <field x="4"/>
  </rowFields>
  <rowItems count="7">
    <i>
      <x v="3"/>
    </i>
    <i>
      <x v="1"/>
    </i>
    <i>
      <x v="4"/>
    </i>
    <i>
      <x/>
    </i>
    <i>
      <x v="2"/>
    </i>
    <i>
      <x v="5"/>
    </i>
    <i t="grand">
      <x/>
    </i>
  </rowItems>
  <colItems count="1">
    <i/>
  </colItems>
  <dataFields count="1">
    <dataField name="Students" fld="1" subtotal="count" baseField="4"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nach" xr10:uid="{72593EB7-3521-4674-A57D-8A1FF06DC267}" sourceName="Brnach">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5">
        <i x="4" s="1"/>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8263DEF-AC95-42A8-AA33-0090A70773F4}" sourceName="City">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6">
        <i x="0" s="1"/>
        <i x="3" s="1"/>
        <i x="5" s="1"/>
        <i x="1"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83756B5F-D27A-4333-ABA3-F368BA6BAF6F}" sourceName="Result">
  <pivotTables>
    <pivotTable tabId="7" name="PivotTable6"/>
    <pivotTable tabId="13" name="PivotTable12"/>
    <pivotTable tabId="13" name="PivotTable13"/>
    <pivotTable tabId="13" name="PivotTable14"/>
    <pivotTable tabId="13" name="PivotTable15"/>
    <pivotTable tabId="7" name="PivotTable1"/>
    <pivotTable tabId="7" name="PivotTable2"/>
    <pivotTable tabId="7" name="PivotTable3"/>
    <pivotTable tabId="7" name="PivotTable4"/>
    <pivotTable tabId="7" name="PivotTable5"/>
    <pivotTable tabId="7" name="PivotTable7"/>
    <pivotTable tabId="7" name="PivotTable8"/>
  </pivotTables>
  <data>
    <tabular pivotCacheId="926102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nach" xr10:uid="{E5BFBA27-5B4E-4C35-91DE-047E2539414A}" cache="Slicer_Brnach" caption="Brnach" rowHeight="234950"/>
  <slicer name="City" xr10:uid="{9B682680-6842-4A2E-8339-4477C804494B}" cache="Slicer_City" caption="City" rowHeight="234950"/>
  <slicer name="Result" xr10:uid="{6726F080-8BB5-4010-A1B1-A57C4258D9D8}" cache="Slicer_Result" caption="Resul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8C1E11-2197-48FE-9BAC-A47F8DFA15FE}" name="Rd" displayName="Rd" ref="A1:F65" totalsRowShown="0">
  <autoFilter ref="A1:F65" xr:uid="{F58C1E11-2197-48FE-9BAC-A47F8DFA15FE}"/>
  <tableColumns count="6">
    <tableColumn id="1" xr3:uid="{961EDC99-8A02-4B44-9576-043277FD971C}" name="ID"/>
    <tableColumn id="2" xr3:uid="{05D86410-2A3F-4015-A5D9-0D158415EE5E}" name="Name"/>
    <tableColumn id="3" xr3:uid="{88F372EC-17A5-4B16-9FD4-CC6F16A56381}" name="Branch"/>
    <tableColumn id="4" xr3:uid="{B2B3C91A-D576-4C4C-ADE3-CD8800FBC84A}" name="Marks"/>
    <tableColumn id="5" xr3:uid="{FC114630-8DA9-4CB0-B7FB-8ECEA8987A8C}" name="City"/>
    <tableColumn id="6" xr3:uid="{89D57F59-3DFF-478C-A98E-6EB1AFC908DA}" name="Phon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0CFCBF-0E9B-41C5-B8B0-1C176AF3F1E0}" name="tt" displayName="tt" ref="A1:B6" totalsRowShown="0" headerRowDxfId="14">
  <autoFilter ref="A1:B6" xr:uid="{DC0CFCBF-0E9B-41C5-B8B0-1C176AF3F1E0}"/>
  <tableColumns count="2">
    <tableColumn id="1" xr3:uid="{B4904361-2F5E-4ADF-9791-615FC64F9177}" name="Branch"/>
    <tableColumn id="2" xr3:uid="{F0869857-F2C1-4ED3-AF51-F799A145B5DC}" name="HOD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D427888-72D2-4E81-9750-BF3B512A2AA1}" name="Table8" displayName="Table8" ref="A1:J61" totalsRowShown="0" headerRowDxfId="12" dataDxfId="11">
  <autoFilter ref="A1:J61" xr:uid="{8D427888-72D2-4E81-9750-BF3B512A2AA1}"/>
  <tableColumns count="10">
    <tableColumn id="1" xr3:uid="{ACD551CC-7493-4A23-B9D3-71C2112C0CCF}" name="ID" dataDxfId="10"/>
    <tableColumn id="2" xr3:uid="{05F20B32-8993-44BB-B058-9AAEFDEADC4A}" name="Name" dataDxfId="9"/>
    <tableColumn id="3" xr3:uid="{E8CAC830-3A98-4BBD-8B0A-B0F70DCE3D4F}" name="Brnach" dataDxfId="8"/>
    <tableColumn id="4" xr3:uid="{76E0BEAE-4973-4A4B-96FD-2A1B81472A39}" name="Marks" dataDxfId="7"/>
    <tableColumn id="5" xr3:uid="{D50662DF-D7E9-4B77-818C-1AE6B85BC029}" name="City" dataDxfId="6"/>
    <tableColumn id="6" xr3:uid="{AD272824-65EC-4E3A-96D3-19F81FA70860}" name="Phone" dataDxfId="5"/>
    <tableColumn id="7" xr3:uid="{C938E92D-49C9-4DE2-95E6-32FD45A5BC7A}" name="count" dataDxfId="4"/>
    <tableColumn id="8" xr3:uid="{093C3F25-673F-4B77-A55A-CBEFED62FD53}" name="Grade" dataDxfId="3"/>
    <tableColumn id="9" xr3:uid="{54AB0C2C-4FB0-474E-95A0-8664F5DAE773}" name="Result" dataDxfId="2"/>
    <tableColumn id="10" xr3:uid="{FFD374A5-77C3-4C22-A3B6-B9B24B89FF97}" name="Hod" dataDxfId="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85A5B9-3A23-4D6D-A3F5-9295477E4A98}" name="Table13" displayName="Table13" ref="A1:B6" totalsRowShown="0" headerRowDxfId="0">
  <autoFilter ref="A1:B6" xr:uid="{E385A5B9-3A23-4D6D-A3F5-9295477E4A98}"/>
  <tableColumns count="2">
    <tableColumn id="1" xr3:uid="{BED2100C-F7A5-4A52-B297-D99F49F5162A}" name="Branch"/>
    <tableColumn id="2" xr3:uid="{C48286D9-0C3A-4899-9D7E-D1C379BD11E4}" name="Ho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5"/>
  <sheetViews>
    <sheetView workbookViewId="0">
      <selection sqref="A1:F1"/>
    </sheetView>
  </sheetViews>
  <sheetFormatPr defaultRowHeight="14.4" x14ac:dyDescent="0.3"/>
  <sheetData>
    <row r="1" spans="1:6" x14ac:dyDescent="0.3">
      <c r="A1" t="s">
        <v>0</v>
      </c>
      <c r="B1" t="s">
        <v>1</v>
      </c>
      <c r="C1" t="s">
        <v>2</v>
      </c>
      <c r="D1" t="s">
        <v>3</v>
      </c>
      <c r="E1" t="s">
        <v>4</v>
      </c>
      <c r="F1" t="s">
        <v>5</v>
      </c>
    </row>
    <row r="2" spans="1:6" x14ac:dyDescent="0.3">
      <c r="A2">
        <v>300</v>
      </c>
      <c r="B2" t="s">
        <v>6</v>
      </c>
      <c r="C2" t="s">
        <v>7</v>
      </c>
      <c r="D2" t="s">
        <v>8</v>
      </c>
      <c r="E2" t="s">
        <v>9</v>
      </c>
      <c r="F2" t="s">
        <v>10</v>
      </c>
    </row>
    <row r="3" spans="1:6" x14ac:dyDescent="0.3">
      <c r="A3">
        <v>301</v>
      </c>
      <c r="B3" t="s">
        <v>11</v>
      </c>
      <c r="C3" t="s">
        <v>7</v>
      </c>
      <c r="D3" t="s">
        <v>12</v>
      </c>
      <c r="E3" t="s">
        <v>13</v>
      </c>
      <c r="F3" t="s">
        <v>14</v>
      </c>
    </row>
    <row r="4" spans="1:6" x14ac:dyDescent="0.3">
      <c r="A4">
        <v>302</v>
      </c>
      <c r="B4" t="s">
        <v>15</v>
      </c>
      <c r="C4" t="s">
        <v>16</v>
      </c>
      <c r="D4" t="s">
        <v>17</v>
      </c>
      <c r="E4" t="s">
        <v>18</v>
      </c>
      <c r="F4" t="s">
        <v>19</v>
      </c>
    </row>
    <row r="5" spans="1:6" x14ac:dyDescent="0.3">
      <c r="A5">
        <v>303</v>
      </c>
      <c r="B5" t="s">
        <v>20</v>
      </c>
      <c r="C5" t="s">
        <v>21</v>
      </c>
      <c r="D5" t="s">
        <v>22</v>
      </c>
      <c r="E5" t="s">
        <v>23</v>
      </c>
      <c r="F5" t="s">
        <v>24</v>
      </c>
    </row>
    <row r="6" spans="1:6" x14ac:dyDescent="0.3">
      <c r="A6">
        <v>304</v>
      </c>
      <c r="B6" t="s">
        <v>25</v>
      </c>
      <c r="C6" t="s">
        <v>26</v>
      </c>
      <c r="D6" t="s">
        <v>27</v>
      </c>
      <c r="E6" t="s">
        <v>23</v>
      </c>
      <c r="F6" t="s">
        <v>28</v>
      </c>
    </row>
    <row r="7" spans="1:6" x14ac:dyDescent="0.3">
      <c r="A7">
        <v>305</v>
      </c>
      <c r="B7" t="s">
        <v>29</v>
      </c>
      <c r="C7" t="s">
        <v>30</v>
      </c>
      <c r="D7" t="s">
        <v>31</v>
      </c>
      <c r="E7" t="s">
        <v>9</v>
      </c>
      <c r="F7" t="s">
        <v>32</v>
      </c>
    </row>
    <row r="8" spans="1:6" x14ac:dyDescent="0.3">
      <c r="A8">
        <v>306</v>
      </c>
      <c r="B8" t="s">
        <v>33</v>
      </c>
      <c r="C8" t="s">
        <v>34</v>
      </c>
      <c r="D8" t="s">
        <v>35</v>
      </c>
      <c r="E8" t="s">
        <v>36</v>
      </c>
      <c r="F8" t="s">
        <v>37</v>
      </c>
    </row>
    <row r="9" spans="1:6" x14ac:dyDescent="0.3">
      <c r="A9">
        <v>307</v>
      </c>
      <c r="B9" t="s">
        <v>38</v>
      </c>
      <c r="C9" t="s">
        <v>26</v>
      </c>
      <c r="D9" t="s">
        <v>39</v>
      </c>
      <c r="E9" t="s">
        <v>40</v>
      </c>
      <c r="F9" t="s">
        <v>41</v>
      </c>
    </row>
    <row r="10" spans="1:6" x14ac:dyDescent="0.3">
      <c r="A10">
        <v>308</v>
      </c>
      <c r="B10" t="s">
        <v>42</v>
      </c>
      <c r="C10" t="s">
        <v>26</v>
      </c>
      <c r="D10" t="s">
        <v>43</v>
      </c>
      <c r="E10" t="s">
        <v>23</v>
      </c>
      <c r="F10" t="s">
        <v>44</v>
      </c>
    </row>
    <row r="11" spans="1:6" x14ac:dyDescent="0.3">
      <c r="A11">
        <v>309</v>
      </c>
      <c r="B11" t="s">
        <v>45</v>
      </c>
      <c r="C11" t="s">
        <v>26</v>
      </c>
      <c r="D11" t="s">
        <v>46</v>
      </c>
      <c r="E11" t="s">
        <v>47</v>
      </c>
      <c r="F11" t="s">
        <v>48</v>
      </c>
    </row>
    <row r="12" spans="1:6" x14ac:dyDescent="0.3">
      <c r="A12">
        <v>310</v>
      </c>
      <c r="B12" t="s">
        <v>49</v>
      </c>
      <c r="C12" t="s">
        <v>50</v>
      </c>
      <c r="D12" t="s">
        <v>51</v>
      </c>
      <c r="E12" t="s">
        <v>52</v>
      </c>
      <c r="F12" t="s">
        <v>53</v>
      </c>
    </row>
    <row r="13" spans="1:6" x14ac:dyDescent="0.3">
      <c r="A13">
        <v>311</v>
      </c>
      <c r="B13" t="s">
        <v>54</v>
      </c>
      <c r="C13" t="s">
        <v>7</v>
      </c>
      <c r="D13" t="s">
        <v>55</v>
      </c>
      <c r="E13" t="s">
        <v>52</v>
      </c>
      <c r="F13" t="s">
        <v>56</v>
      </c>
    </row>
    <row r="14" spans="1:6" x14ac:dyDescent="0.3">
      <c r="A14">
        <v>312</v>
      </c>
      <c r="B14" t="s">
        <v>57</v>
      </c>
      <c r="C14" t="s">
        <v>30</v>
      </c>
      <c r="D14" t="s">
        <v>58</v>
      </c>
      <c r="E14" t="s">
        <v>52</v>
      </c>
      <c r="F14" t="s">
        <v>59</v>
      </c>
    </row>
    <row r="15" spans="1:6" x14ac:dyDescent="0.3">
      <c r="A15">
        <v>313</v>
      </c>
      <c r="B15" t="s">
        <v>60</v>
      </c>
      <c r="C15" t="s">
        <v>26</v>
      </c>
      <c r="D15" t="s">
        <v>61</v>
      </c>
      <c r="E15" t="s">
        <v>40</v>
      </c>
      <c r="F15" t="s">
        <v>62</v>
      </c>
    </row>
    <row r="16" spans="1:6" x14ac:dyDescent="0.3">
      <c r="A16">
        <v>314</v>
      </c>
      <c r="B16" t="s">
        <v>63</v>
      </c>
      <c r="C16" t="s">
        <v>50</v>
      </c>
      <c r="D16" t="s">
        <v>64</v>
      </c>
      <c r="E16" t="s">
        <v>47</v>
      </c>
      <c r="F16" t="s">
        <v>65</v>
      </c>
    </row>
    <row r="17" spans="1:6" x14ac:dyDescent="0.3">
      <c r="A17">
        <v>315</v>
      </c>
      <c r="B17" t="s">
        <v>66</v>
      </c>
      <c r="C17" t="s">
        <v>34</v>
      </c>
      <c r="D17" t="s">
        <v>22</v>
      </c>
      <c r="E17" t="s">
        <v>36</v>
      </c>
      <c r="F17" t="s">
        <v>67</v>
      </c>
    </row>
    <row r="18" spans="1:6" x14ac:dyDescent="0.3">
      <c r="A18">
        <v>316</v>
      </c>
      <c r="B18" t="s">
        <v>68</v>
      </c>
      <c r="C18" t="s">
        <v>50</v>
      </c>
      <c r="D18" t="s">
        <v>69</v>
      </c>
      <c r="E18" t="s">
        <v>40</v>
      </c>
      <c r="F18" t="s">
        <v>70</v>
      </c>
    </row>
    <row r="19" spans="1:6" x14ac:dyDescent="0.3">
      <c r="A19">
        <v>317</v>
      </c>
      <c r="B19" t="s">
        <v>71</v>
      </c>
      <c r="C19" t="s">
        <v>26</v>
      </c>
      <c r="D19" t="s">
        <v>72</v>
      </c>
      <c r="E19" t="s">
        <v>73</v>
      </c>
      <c r="F19" t="s">
        <v>74</v>
      </c>
    </row>
    <row r="20" spans="1:6" x14ac:dyDescent="0.3">
      <c r="A20">
        <v>318</v>
      </c>
      <c r="B20" t="s">
        <v>75</v>
      </c>
      <c r="C20" t="s">
        <v>26</v>
      </c>
      <c r="D20" t="s">
        <v>76</v>
      </c>
      <c r="E20" t="s">
        <v>73</v>
      </c>
      <c r="F20" t="s">
        <v>77</v>
      </c>
    </row>
    <row r="21" spans="1:6" x14ac:dyDescent="0.3">
      <c r="A21">
        <v>319</v>
      </c>
      <c r="B21" t="s">
        <v>78</v>
      </c>
      <c r="C21" t="s">
        <v>21</v>
      </c>
      <c r="D21" t="s">
        <v>79</v>
      </c>
      <c r="E21" t="s">
        <v>36</v>
      </c>
      <c r="F21" t="s">
        <v>80</v>
      </c>
    </row>
    <row r="22" spans="1:6" x14ac:dyDescent="0.3">
      <c r="A22">
        <v>320</v>
      </c>
      <c r="B22" t="s">
        <v>49</v>
      </c>
      <c r="C22" t="s">
        <v>7</v>
      </c>
      <c r="D22" t="s">
        <v>27</v>
      </c>
      <c r="E22" t="s">
        <v>13</v>
      </c>
      <c r="F22" t="s">
        <v>81</v>
      </c>
    </row>
    <row r="23" spans="1:6" x14ac:dyDescent="0.3">
      <c r="A23">
        <v>321</v>
      </c>
      <c r="B23" t="s">
        <v>82</v>
      </c>
      <c r="C23" t="s">
        <v>83</v>
      </c>
      <c r="D23" t="s">
        <v>84</v>
      </c>
      <c r="E23" t="s">
        <v>73</v>
      </c>
      <c r="F23" t="s">
        <v>85</v>
      </c>
    </row>
    <row r="24" spans="1:6" x14ac:dyDescent="0.3">
      <c r="A24">
        <v>322</v>
      </c>
      <c r="B24" t="s">
        <v>86</v>
      </c>
      <c r="C24" t="s">
        <v>7</v>
      </c>
      <c r="D24" t="s">
        <v>84</v>
      </c>
      <c r="E24" t="s">
        <v>23</v>
      </c>
      <c r="F24" t="s">
        <v>87</v>
      </c>
    </row>
    <row r="25" spans="1:6" x14ac:dyDescent="0.3">
      <c r="A25">
        <v>323</v>
      </c>
      <c r="B25" t="s">
        <v>75</v>
      </c>
      <c r="C25" t="s">
        <v>88</v>
      </c>
      <c r="D25" t="s">
        <v>89</v>
      </c>
      <c r="E25" t="s">
        <v>90</v>
      </c>
      <c r="F25" t="s">
        <v>91</v>
      </c>
    </row>
    <row r="26" spans="1:6" x14ac:dyDescent="0.3">
      <c r="A26">
        <v>324</v>
      </c>
      <c r="B26" t="s">
        <v>66</v>
      </c>
      <c r="C26" t="s">
        <v>21</v>
      </c>
      <c r="D26" t="s">
        <v>92</v>
      </c>
      <c r="E26" t="s">
        <v>13</v>
      </c>
      <c r="F26" t="s">
        <v>93</v>
      </c>
    </row>
    <row r="27" spans="1:6" x14ac:dyDescent="0.3">
      <c r="A27">
        <v>325</v>
      </c>
      <c r="B27" t="s">
        <v>94</v>
      </c>
      <c r="C27" t="s">
        <v>34</v>
      </c>
      <c r="D27" t="s">
        <v>8</v>
      </c>
      <c r="E27" t="s">
        <v>40</v>
      </c>
      <c r="F27" t="s">
        <v>95</v>
      </c>
    </row>
    <row r="28" spans="1:6" x14ac:dyDescent="0.3">
      <c r="A28">
        <v>326</v>
      </c>
      <c r="B28" t="s">
        <v>60</v>
      </c>
      <c r="C28" t="s">
        <v>26</v>
      </c>
      <c r="D28" t="s">
        <v>96</v>
      </c>
      <c r="E28" t="s">
        <v>13</v>
      </c>
      <c r="F28" t="s">
        <v>97</v>
      </c>
    </row>
    <row r="29" spans="1:6" x14ac:dyDescent="0.3">
      <c r="A29">
        <v>327</v>
      </c>
      <c r="B29" t="s">
        <v>98</v>
      </c>
      <c r="C29" t="s">
        <v>99</v>
      </c>
      <c r="D29" t="s">
        <v>100</v>
      </c>
      <c r="E29" t="s">
        <v>101</v>
      </c>
      <c r="F29" t="s">
        <v>102</v>
      </c>
    </row>
    <row r="30" spans="1:6" x14ac:dyDescent="0.3">
      <c r="A30">
        <v>328</v>
      </c>
      <c r="B30" t="s">
        <v>103</v>
      </c>
      <c r="C30" t="s">
        <v>21</v>
      </c>
      <c r="D30" t="s">
        <v>104</v>
      </c>
      <c r="E30" t="s">
        <v>90</v>
      </c>
      <c r="F30" t="s">
        <v>105</v>
      </c>
    </row>
    <row r="31" spans="1:6" x14ac:dyDescent="0.3">
      <c r="A31">
        <v>329</v>
      </c>
      <c r="B31" t="s">
        <v>106</v>
      </c>
      <c r="C31" t="s">
        <v>83</v>
      </c>
      <c r="D31" t="s">
        <v>107</v>
      </c>
      <c r="E31" t="s">
        <v>18</v>
      </c>
      <c r="F31" t="s">
        <v>108</v>
      </c>
    </row>
    <row r="32" spans="1:6" x14ac:dyDescent="0.3">
      <c r="A32">
        <v>330</v>
      </c>
      <c r="B32" t="s">
        <v>6</v>
      </c>
      <c r="C32" t="s">
        <v>16</v>
      </c>
      <c r="D32" t="s">
        <v>39</v>
      </c>
      <c r="E32" t="s">
        <v>13</v>
      </c>
      <c r="F32" t="s">
        <v>109</v>
      </c>
    </row>
    <row r="33" spans="1:6" x14ac:dyDescent="0.3">
      <c r="A33">
        <v>331</v>
      </c>
      <c r="B33" t="s">
        <v>110</v>
      </c>
      <c r="C33" t="s">
        <v>7</v>
      </c>
      <c r="D33" t="s">
        <v>111</v>
      </c>
      <c r="E33" t="s">
        <v>13</v>
      </c>
      <c r="F33" t="s">
        <v>112</v>
      </c>
    </row>
    <row r="34" spans="1:6" x14ac:dyDescent="0.3">
      <c r="A34">
        <v>332</v>
      </c>
      <c r="B34" t="s">
        <v>113</v>
      </c>
      <c r="C34" t="s">
        <v>30</v>
      </c>
      <c r="D34" t="s">
        <v>114</v>
      </c>
      <c r="E34" t="s">
        <v>52</v>
      </c>
      <c r="F34" t="s">
        <v>115</v>
      </c>
    </row>
    <row r="35" spans="1:6" x14ac:dyDescent="0.3">
      <c r="A35">
        <v>333</v>
      </c>
      <c r="B35" t="s">
        <v>6</v>
      </c>
      <c r="C35" t="s">
        <v>21</v>
      </c>
      <c r="D35" t="s">
        <v>116</v>
      </c>
      <c r="E35" t="s">
        <v>90</v>
      </c>
      <c r="F35" t="s">
        <v>117</v>
      </c>
    </row>
    <row r="36" spans="1:6" x14ac:dyDescent="0.3">
      <c r="A36">
        <v>334</v>
      </c>
      <c r="B36" t="s">
        <v>118</v>
      </c>
      <c r="C36" t="s">
        <v>26</v>
      </c>
      <c r="D36" t="s">
        <v>84</v>
      </c>
      <c r="E36" t="s">
        <v>52</v>
      </c>
      <c r="F36" t="s">
        <v>119</v>
      </c>
    </row>
    <row r="37" spans="1:6" x14ac:dyDescent="0.3">
      <c r="A37">
        <v>335</v>
      </c>
      <c r="B37" t="s">
        <v>78</v>
      </c>
      <c r="C37" t="s">
        <v>50</v>
      </c>
      <c r="D37" t="s">
        <v>120</v>
      </c>
      <c r="E37" t="s">
        <v>73</v>
      </c>
      <c r="F37" t="s">
        <v>121</v>
      </c>
    </row>
    <row r="38" spans="1:6" x14ac:dyDescent="0.3">
      <c r="A38">
        <v>336</v>
      </c>
      <c r="B38" t="s">
        <v>122</v>
      </c>
      <c r="C38" t="s">
        <v>30</v>
      </c>
      <c r="D38" t="s">
        <v>123</v>
      </c>
      <c r="E38" t="s">
        <v>9</v>
      </c>
      <c r="F38" t="s">
        <v>124</v>
      </c>
    </row>
    <row r="39" spans="1:6" x14ac:dyDescent="0.3">
      <c r="A39">
        <v>337</v>
      </c>
      <c r="B39" t="s">
        <v>49</v>
      </c>
      <c r="C39" t="s">
        <v>7</v>
      </c>
      <c r="D39" t="s">
        <v>39</v>
      </c>
      <c r="E39" t="s">
        <v>73</v>
      </c>
      <c r="F39" t="s">
        <v>125</v>
      </c>
    </row>
    <row r="40" spans="1:6" x14ac:dyDescent="0.3">
      <c r="A40">
        <v>338</v>
      </c>
      <c r="B40" t="s">
        <v>126</v>
      </c>
      <c r="C40" t="s">
        <v>34</v>
      </c>
      <c r="D40" t="s">
        <v>43</v>
      </c>
      <c r="E40" t="s">
        <v>90</v>
      </c>
      <c r="F40" t="s">
        <v>127</v>
      </c>
    </row>
    <row r="41" spans="1:6" x14ac:dyDescent="0.3">
      <c r="A41">
        <v>339</v>
      </c>
      <c r="B41" t="s">
        <v>66</v>
      </c>
      <c r="C41" t="s">
        <v>21</v>
      </c>
      <c r="D41" t="s">
        <v>128</v>
      </c>
      <c r="E41" t="s">
        <v>90</v>
      </c>
      <c r="F41" t="s">
        <v>129</v>
      </c>
    </row>
    <row r="42" spans="1:6" x14ac:dyDescent="0.3">
      <c r="A42">
        <v>340</v>
      </c>
      <c r="B42" t="s">
        <v>68</v>
      </c>
      <c r="C42" t="s">
        <v>34</v>
      </c>
      <c r="D42" t="s">
        <v>130</v>
      </c>
      <c r="E42" t="s">
        <v>90</v>
      </c>
      <c r="F42" t="s">
        <v>131</v>
      </c>
    </row>
    <row r="43" spans="1:6" x14ac:dyDescent="0.3">
      <c r="A43">
        <v>341</v>
      </c>
      <c r="B43" t="s">
        <v>132</v>
      </c>
      <c r="C43" t="s">
        <v>21</v>
      </c>
      <c r="D43" t="s">
        <v>133</v>
      </c>
      <c r="E43" t="s">
        <v>13</v>
      </c>
      <c r="F43" t="s">
        <v>134</v>
      </c>
    </row>
    <row r="44" spans="1:6" x14ac:dyDescent="0.3">
      <c r="A44">
        <v>342</v>
      </c>
      <c r="B44" t="s">
        <v>25</v>
      </c>
      <c r="C44" t="s">
        <v>26</v>
      </c>
      <c r="D44" t="s">
        <v>135</v>
      </c>
      <c r="E44" t="s">
        <v>101</v>
      </c>
      <c r="F44" t="s">
        <v>136</v>
      </c>
    </row>
    <row r="45" spans="1:6" x14ac:dyDescent="0.3">
      <c r="A45">
        <v>343</v>
      </c>
      <c r="B45" t="s">
        <v>60</v>
      </c>
      <c r="C45" t="s">
        <v>30</v>
      </c>
      <c r="D45" t="s">
        <v>137</v>
      </c>
      <c r="E45" t="s">
        <v>23</v>
      </c>
      <c r="F45" t="s">
        <v>138</v>
      </c>
    </row>
    <row r="46" spans="1:6" x14ac:dyDescent="0.3">
      <c r="A46">
        <v>344</v>
      </c>
      <c r="B46" t="s">
        <v>60</v>
      </c>
      <c r="C46" t="s">
        <v>7</v>
      </c>
      <c r="D46" t="s">
        <v>31</v>
      </c>
      <c r="E46" t="s">
        <v>90</v>
      </c>
      <c r="F46" t="s">
        <v>139</v>
      </c>
    </row>
    <row r="47" spans="1:6" x14ac:dyDescent="0.3">
      <c r="A47">
        <v>345</v>
      </c>
      <c r="B47" t="s">
        <v>103</v>
      </c>
      <c r="C47" t="s">
        <v>7</v>
      </c>
      <c r="D47" t="s">
        <v>140</v>
      </c>
      <c r="E47" t="s">
        <v>36</v>
      </c>
      <c r="F47" t="s">
        <v>141</v>
      </c>
    </row>
    <row r="48" spans="1:6" x14ac:dyDescent="0.3">
      <c r="A48">
        <v>346</v>
      </c>
      <c r="B48" t="s">
        <v>142</v>
      </c>
      <c r="C48" t="s">
        <v>83</v>
      </c>
      <c r="D48" t="s">
        <v>96</v>
      </c>
      <c r="E48" t="s">
        <v>18</v>
      </c>
      <c r="F48" t="s">
        <v>143</v>
      </c>
    </row>
    <row r="49" spans="1:6" x14ac:dyDescent="0.3">
      <c r="A49">
        <v>347</v>
      </c>
      <c r="B49" t="s">
        <v>110</v>
      </c>
      <c r="C49" t="s">
        <v>26</v>
      </c>
      <c r="D49" t="s">
        <v>144</v>
      </c>
      <c r="E49" t="s">
        <v>90</v>
      </c>
      <c r="F49" t="s">
        <v>145</v>
      </c>
    </row>
    <row r="50" spans="1:6" x14ac:dyDescent="0.3">
      <c r="A50">
        <v>348</v>
      </c>
      <c r="B50" t="s">
        <v>110</v>
      </c>
      <c r="C50" t="s">
        <v>30</v>
      </c>
      <c r="D50" t="s">
        <v>123</v>
      </c>
      <c r="E50" t="s">
        <v>23</v>
      </c>
      <c r="F50" t="s">
        <v>146</v>
      </c>
    </row>
    <row r="51" spans="1:6" x14ac:dyDescent="0.3">
      <c r="A51">
        <v>349</v>
      </c>
      <c r="B51" t="s">
        <v>147</v>
      </c>
      <c r="C51" t="s">
        <v>50</v>
      </c>
      <c r="D51" t="s">
        <v>111</v>
      </c>
      <c r="E51" t="s">
        <v>40</v>
      </c>
      <c r="F51" t="s">
        <v>148</v>
      </c>
    </row>
    <row r="52" spans="1:6" x14ac:dyDescent="0.3">
      <c r="A52">
        <v>350</v>
      </c>
      <c r="B52" t="s">
        <v>149</v>
      </c>
      <c r="C52" t="s">
        <v>99</v>
      </c>
      <c r="D52" t="s">
        <v>150</v>
      </c>
      <c r="E52" t="s">
        <v>90</v>
      </c>
      <c r="F52" t="s">
        <v>151</v>
      </c>
    </row>
    <row r="53" spans="1:6" x14ac:dyDescent="0.3">
      <c r="A53">
        <v>351</v>
      </c>
      <c r="B53" t="s">
        <v>152</v>
      </c>
      <c r="C53" t="s">
        <v>7</v>
      </c>
      <c r="D53" t="s">
        <v>153</v>
      </c>
      <c r="E53" t="s">
        <v>18</v>
      </c>
      <c r="F53" t="s">
        <v>154</v>
      </c>
    </row>
    <row r="54" spans="1:6" x14ac:dyDescent="0.3">
      <c r="A54">
        <v>352</v>
      </c>
      <c r="B54" t="s">
        <v>155</v>
      </c>
      <c r="C54" t="s">
        <v>88</v>
      </c>
      <c r="D54" t="s">
        <v>156</v>
      </c>
      <c r="E54" t="s">
        <v>13</v>
      </c>
      <c r="F54" t="s">
        <v>157</v>
      </c>
    </row>
    <row r="55" spans="1:6" x14ac:dyDescent="0.3">
      <c r="A55">
        <v>353</v>
      </c>
      <c r="B55" t="s">
        <v>158</v>
      </c>
      <c r="C55" t="s">
        <v>16</v>
      </c>
      <c r="D55" t="s">
        <v>159</v>
      </c>
      <c r="E55" t="s">
        <v>90</v>
      </c>
      <c r="F55" t="s">
        <v>160</v>
      </c>
    </row>
    <row r="56" spans="1:6" x14ac:dyDescent="0.3">
      <c r="A56">
        <v>354</v>
      </c>
      <c r="B56" t="s">
        <v>49</v>
      </c>
      <c r="C56" t="s">
        <v>26</v>
      </c>
      <c r="D56" t="s">
        <v>161</v>
      </c>
      <c r="E56" t="s">
        <v>90</v>
      </c>
      <c r="F56" t="s">
        <v>162</v>
      </c>
    </row>
    <row r="57" spans="1:6" x14ac:dyDescent="0.3">
      <c r="A57">
        <v>355</v>
      </c>
      <c r="B57" t="s">
        <v>49</v>
      </c>
      <c r="C57" t="s">
        <v>99</v>
      </c>
      <c r="D57" t="s">
        <v>163</v>
      </c>
      <c r="E57" t="s">
        <v>13</v>
      </c>
      <c r="F57" t="s">
        <v>164</v>
      </c>
    </row>
    <row r="58" spans="1:6" x14ac:dyDescent="0.3">
      <c r="A58">
        <v>356</v>
      </c>
      <c r="B58" t="s">
        <v>165</v>
      </c>
      <c r="C58" t="s">
        <v>34</v>
      </c>
      <c r="D58" t="s">
        <v>17</v>
      </c>
      <c r="E58" t="s">
        <v>13</v>
      </c>
      <c r="F58" t="s">
        <v>166</v>
      </c>
    </row>
    <row r="59" spans="1:6" x14ac:dyDescent="0.3">
      <c r="A59">
        <v>357</v>
      </c>
      <c r="B59" t="s">
        <v>167</v>
      </c>
      <c r="C59" t="s">
        <v>21</v>
      </c>
      <c r="D59" t="s">
        <v>168</v>
      </c>
      <c r="E59" t="s">
        <v>73</v>
      </c>
      <c r="F59" t="s">
        <v>169</v>
      </c>
    </row>
    <row r="60" spans="1:6" x14ac:dyDescent="0.3">
      <c r="A60">
        <v>358</v>
      </c>
      <c r="B60" t="s">
        <v>155</v>
      </c>
      <c r="C60" t="s">
        <v>50</v>
      </c>
      <c r="D60" t="s">
        <v>170</v>
      </c>
      <c r="E60" t="s">
        <v>18</v>
      </c>
      <c r="F60" t="s">
        <v>171</v>
      </c>
    </row>
    <row r="61" spans="1:6" x14ac:dyDescent="0.3">
      <c r="A61">
        <v>359</v>
      </c>
      <c r="B61" t="s">
        <v>122</v>
      </c>
      <c r="C61" t="s">
        <v>50</v>
      </c>
      <c r="D61" t="s">
        <v>8</v>
      </c>
      <c r="E61" t="s">
        <v>23</v>
      </c>
      <c r="F61" t="s">
        <v>172</v>
      </c>
    </row>
    <row r="62" spans="1:6" x14ac:dyDescent="0.3">
      <c r="A62">
        <v>602</v>
      </c>
      <c r="B62" t="s">
        <v>6</v>
      </c>
      <c r="C62" t="s">
        <v>7</v>
      </c>
      <c r="D62" t="s">
        <v>8</v>
      </c>
      <c r="E62" t="s">
        <v>9</v>
      </c>
      <c r="F62" t="s">
        <v>10</v>
      </c>
    </row>
    <row r="63" spans="1:6" x14ac:dyDescent="0.3">
      <c r="A63">
        <v>603</v>
      </c>
      <c r="B63" t="s">
        <v>11</v>
      </c>
      <c r="C63" t="s">
        <v>7</v>
      </c>
      <c r="D63" t="s">
        <v>12</v>
      </c>
      <c r="E63" t="s">
        <v>13</v>
      </c>
      <c r="F63" t="s">
        <v>14</v>
      </c>
    </row>
    <row r="64" spans="1:6" x14ac:dyDescent="0.3">
      <c r="A64">
        <v>604</v>
      </c>
      <c r="B64" t="s">
        <v>15</v>
      </c>
      <c r="C64" t="s">
        <v>16</v>
      </c>
      <c r="D64" t="s">
        <v>17</v>
      </c>
      <c r="E64" t="s">
        <v>18</v>
      </c>
      <c r="F64" t="s">
        <v>19</v>
      </c>
    </row>
    <row r="65" spans="1:6" x14ac:dyDescent="0.3">
      <c r="A65">
        <v>605</v>
      </c>
      <c r="B65" t="s">
        <v>20</v>
      </c>
      <c r="C65" t="s">
        <v>21</v>
      </c>
      <c r="D65" t="s">
        <v>22</v>
      </c>
      <c r="E65" t="s">
        <v>23</v>
      </c>
      <c r="F65" t="s">
        <v>24</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activeCell="B3" sqref="B3"/>
    </sheetView>
  </sheetViews>
  <sheetFormatPr defaultRowHeight="14.4" x14ac:dyDescent="0.3"/>
  <cols>
    <col min="2" max="2" width="12.6640625" customWidth="1"/>
  </cols>
  <sheetData>
    <row r="1" spans="1:2" x14ac:dyDescent="0.3">
      <c r="A1" s="1" t="s">
        <v>2</v>
      </c>
      <c r="B1" s="1" t="s">
        <v>173</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9C8C-F534-43CF-AFC3-03A33B9D7AA7}">
  <dimension ref="A3:N21"/>
  <sheetViews>
    <sheetView tabSelected="1" topLeftCell="A2" workbookViewId="0">
      <selection activeCell="B16" sqref="B16"/>
    </sheetView>
  </sheetViews>
  <sheetFormatPr defaultRowHeight="14.4" x14ac:dyDescent="0.3"/>
  <cols>
    <col min="1" max="1" width="10.77734375" bestFit="1" customWidth="1"/>
    <col min="2" max="2" width="8.44140625" bestFit="1" customWidth="1"/>
    <col min="3" max="3" width="4.109375" bestFit="1" customWidth="1"/>
    <col min="4" max="4" width="10.77734375" bestFit="1" customWidth="1"/>
    <col min="5" max="5" width="7.44140625" bestFit="1" customWidth="1"/>
    <col min="6" max="6" width="6.109375" bestFit="1" customWidth="1"/>
    <col min="7" max="7" width="10.77734375" bestFit="1" customWidth="1"/>
    <col min="8" max="8" width="13.88671875" bestFit="1" customWidth="1"/>
    <col min="9" max="9" width="16" bestFit="1" customWidth="1"/>
    <col min="10" max="10" width="13.88671875" bestFit="1" customWidth="1"/>
    <col min="11" max="11" width="12.5546875" bestFit="1" customWidth="1"/>
    <col min="12" max="12" width="16" bestFit="1" customWidth="1"/>
    <col min="13" max="13" width="12.5546875" bestFit="1" customWidth="1"/>
    <col min="14" max="14" width="15.88671875" bestFit="1" customWidth="1"/>
  </cols>
  <sheetData>
    <row r="3" spans="1:14" x14ac:dyDescent="0.3">
      <c r="A3" s="5" t="s">
        <v>4</v>
      </c>
      <c r="B3" t="s">
        <v>220</v>
      </c>
      <c r="D3" s="5" t="s">
        <v>2</v>
      </c>
      <c r="E3" t="s">
        <v>221</v>
      </c>
      <c r="G3" s="5" t="s">
        <v>181</v>
      </c>
      <c r="H3" t="s">
        <v>225</v>
      </c>
      <c r="J3" s="5" t="s">
        <v>226</v>
      </c>
      <c r="K3" t="s">
        <v>227</v>
      </c>
      <c r="M3" s="5" t="s">
        <v>226</v>
      </c>
      <c r="N3" t="s">
        <v>228</v>
      </c>
    </row>
    <row r="4" spans="1:14" x14ac:dyDescent="0.3">
      <c r="A4" s="2" t="s">
        <v>9</v>
      </c>
      <c r="B4" s="10">
        <v>8</v>
      </c>
      <c r="D4" s="2" t="s">
        <v>50</v>
      </c>
      <c r="E4" s="10">
        <v>13</v>
      </c>
      <c r="G4" s="2" t="s">
        <v>223</v>
      </c>
      <c r="H4" s="10">
        <v>7</v>
      </c>
      <c r="J4" s="2" t="s">
        <v>199</v>
      </c>
      <c r="K4" s="10">
        <v>95</v>
      </c>
      <c r="M4" s="2" t="s">
        <v>50</v>
      </c>
      <c r="N4" s="10">
        <v>57</v>
      </c>
    </row>
    <row r="5" spans="1:14" x14ac:dyDescent="0.3">
      <c r="A5" s="2" t="s">
        <v>47</v>
      </c>
      <c r="B5" s="10">
        <v>13</v>
      </c>
      <c r="D5" s="2" t="s">
        <v>88</v>
      </c>
      <c r="E5" s="10">
        <v>12</v>
      </c>
      <c r="G5" s="2" t="s">
        <v>224</v>
      </c>
      <c r="H5" s="10">
        <v>53</v>
      </c>
      <c r="J5" s="2" t="s">
        <v>192</v>
      </c>
      <c r="K5" s="10">
        <v>92</v>
      </c>
      <c r="M5" s="2" t="s">
        <v>88</v>
      </c>
      <c r="N5" s="10">
        <v>64.25</v>
      </c>
    </row>
    <row r="6" spans="1:14" x14ac:dyDescent="0.3">
      <c r="A6" s="2" t="s">
        <v>101</v>
      </c>
      <c r="B6" s="10">
        <v>8</v>
      </c>
      <c r="D6" s="2" t="s">
        <v>83</v>
      </c>
      <c r="E6" s="10">
        <v>9</v>
      </c>
      <c r="G6" s="2" t="s">
        <v>218</v>
      </c>
      <c r="H6" s="10">
        <v>60</v>
      </c>
      <c r="J6" s="2" t="s">
        <v>182</v>
      </c>
      <c r="K6" s="10">
        <v>92</v>
      </c>
      <c r="M6" s="2" t="s">
        <v>83</v>
      </c>
      <c r="N6" s="10">
        <v>59.222222222222221</v>
      </c>
    </row>
    <row r="7" spans="1:14" x14ac:dyDescent="0.3">
      <c r="A7" s="2" t="s">
        <v>18</v>
      </c>
      <c r="B7" s="10">
        <v>15</v>
      </c>
      <c r="D7" s="2" t="s">
        <v>16</v>
      </c>
      <c r="E7" s="10">
        <v>15</v>
      </c>
      <c r="J7" s="2" t="s">
        <v>189</v>
      </c>
      <c r="K7" s="10">
        <v>92</v>
      </c>
      <c r="M7" s="2" t="s">
        <v>16</v>
      </c>
      <c r="N7" s="10">
        <v>71.666666666666671</v>
      </c>
    </row>
    <row r="8" spans="1:14" x14ac:dyDescent="0.3">
      <c r="A8" s="2" t="s">
        <v>23</v>
      </c>
      <c r="B8" s="10">
        <v>11</v>
      </c>
      <c r="D8" s="2" t="s">
        <v>99</v>
      </c>
      <c r="E8" s="10">
        <v>11</v>
      </c>
      <c r="J8" s="2" t="s">
        <v>183</v>
      </c>
      <c r="K8" s="10">
        <v>91</v>
      </c>
      <c r="M8" s="2" t="s">
        <v>99</v>
      </c>
      <c r="N8" s="10">
        <v>66.63636363636364</v>
      </c>
    </row>
    <row r="9" spans="1:14" x14ac:dyDescent="0.3">
      <c r="A9" s="2" t="s">
        <v>193</v>
      </c>
      <c r="B9" s="10">
        <v>5</v>
      </c>
      <c r="D9" s="2" t="s">
        <v>218</v>
      </c>
      <c r="E9" s="10">
        <v>60</v>
      </c>
      <c r="J9" s="2" t="s">
        <v>218</v>
      </c>
      <c r="K9" s="10">
        <v>95</v>
      </c>
      <c r="M9" s="2" t="s">
        <v>218</v>
      </c>
      <c r="N9" s="10">
        <v>64.216666666666669</v>
      </c>
    </row>
    <row r="10" spans="1:14" x14ac:dyDescent="0.3">
      <c r="A10" s="2" t="s">
        <v>218</v>
      </c>
      <c r="B10" s="10">
        <v>60</v>
      </c>
    </row>
    <row r="13" spans="1:14" x14ac:dyDescent="0.3">
      <c r="A13" s="5" t="s">
        <v>219</v>
      </c>
      <c r="B13" s="5" t="s">
        <v>229</v>
      </c>
      <c r="I13" s="5" t="s">
        <v>226</v>
      </c>
      <c r="J13" t="s">
        <v>219</v>
      </c>
      <c r="L13" s="5" t="s">
        <v>226</v>
      </c>
      <c r="M13" t="s">
        <v>227</v>
      </c>
    </row>
    <row r="14" spans="1:14" x14ac:dyDescent="0.3">
      <c r="A14" s="5" t="s">
        <v>226</v>
      </c>
      <c r="B14" s="6" t="s">
        <v>50</v>
      </c>
      <c r="C14" t="s">
        <v>88</v>
      </c>
      <c r="D14" t="s">
        <v>83</v>
      </c>
      <c r="E14" t="s">
        <v>16</v>
      </c>
      <c r="F14" t="s">
        <v>99</v>
      </c>
      <c r="G14" t="s">
        <v>218</v>
      </c>
      <c r="I14" s="2" t="s">
        <v>230</v>
      </c>
      <c r="J14" s="10">
        <v>5</v>
      </c>
      <c r="L14" s="2" t="s">
        <v>199</v>
      </c>
      <c r="M14" s="10">
        <v>95</v>
      </c>
    </row>
    <row r="15" spans="1:14" x14ac:dyDescent="0.3">
      <c r="A15" s="2" t="s">
        <v>9</v>
      </c>
      <c r="B15" s="10">
        <v>3</v>
      </c>
      <c r="C15" s="10">
        <v>1</v>
      </c>
      <c r="D15" s="10">
        <v>2</v>
      </c>
      <c r="E15" s="10">
        <v>2</v>
      </c>
      <c r="F15" s="10"/>
      <c r="G15" s="10">
        <v>8</v>
      </c>
      <c r="I15" s="2" t="s">
        <v>222</v>
      </c>
      <c r="J15" s="10">
        <v>36</v>
      </c>
      <c r="L15" s="2" t="s">
        <v>192</v>
      </c>
      <c r="M15" s="10">
        <v>92</v>
      </c>
    </row>
    <row r="16" spans="1:14" x14ac:dyDescent="0.3">
      <c r="A16" s="2" t="s">
        <v>47</v>
      </c>
      <c r="B16" s="10">
        <v>3</v>
      </c>
      <c r="C16" s="10">
        <v>2</v>
      </c>
      <c r="D16" s="10"/>
      <c r="E16" s="10">
        <v>4</v>
      </c>
      <c r="F16" s="10">
        <v>4</v>
      </c>
      <c r="G16" s="10">
        <v>13</v>
      </c>
      <c r="I16" s="2" t="s">
        <v>231</v>
      </c>
      <c r="J16" s="10">
        <v>9</v>
      </c>
      <c r="L16" s="2" t="s">
        <v>182</v>
      </c>
      <c r="M16" s="10">
        <v>92</v>
      </c>
    </row>
    <row r="17" spans="1:13" x14ac:dyDescent="0.3">
      <c r="A17" s="2" t="s">
        <v>101</v>
      </c>
      <c r="B17" s="10">
        <v>1</v>
      </c>
      <c r="C17" s="10">
        <v>1</v>
      </c>
      <c r="D17" s="10">
        <v>1</v>
      </c>
      <c r="E17" s="10">
        <v>3</v>
      </c>
      <c r="F17" s="10">
        <v>2</v>
      </c>
      <c r="G17" s="10">
        <v>8</v>
      </c>
      <c r="I17" s="2" t="s">
        <v>232</v>
      </c>
      <c r="J17" s="10">
        <v>3</v>
      </c>
      <c r="L17" s="2" t="s">
        <v>189</v>
      </c>
      <c r="M17" s="10">
        <v>92</v>
      </c>
    </row>
    <row r="18" spans="1:13" x14ac:dyDescent="0.3">
      <c r="A18" s="2" t="s">
        <v>18</v>
      </c>
      <c r="B18" s="10">
        <v>2</v>
      </c>
      <c r="C18" s="10">
        <v>5</v>
      </c>
      <c r="D18" s="10">
        <v>2</v>
      </c>
      <c r="E18" s="10">
        <v>3</v>
      </c>
      <c r="F18" s="10">
        <v>3</v>
      </c>
      <c r="G18" s="10">
        <v>15</v>
      </c>
      <c r="I18" s="2" t="s">
        <v>233</v>
      </c>
      <c r="J18" s="10">
        <v>7</v>
      </c>
      <c r="L18" s="2" t="s">
        <v>183</v>
      </c>
      <c r="M18" s="10">
        <v>91</v>
      </c>
    </row>
    <row r="19" spans="1:13" x14ac:dyDescent="0.3">
      <c r="A19" s="2" t="s">
        <v>23</v>
      </c>
      <c r="B19" s="10">
        <v>3</v>
      </c>
      <c r="C19" s="10">
        <v>2</v>
      </c>
      <c r="D19" s="10">
        <v>2</v>
      </c>
      <c r="E19" s="10">
        <v>2</v>
      </c>
      <c r="F19" s="10">
        <v>2</v>
      </c>
      <c r="G19" s="10">
        <v>11</v>
      </c>
      <c r="I19" s="2" t="s">
        <v>218</v>
      </c>
      <c r="J19" s="10">
        <v>60</v>
      </c>
      <c r="L19" s="2" t="s">
        <v>218</v>
      </c>
      <c r="M19" s="10">
        <v>95</v>
      </c>
    </row>
    <row r="20" spans="1:13" x14ac:dyDescent="0.3">
      <c r="A20" s="2" t="s">
        <v>193</v>
      </c>
      <c r="B20" s="10">
        <v>1</v>
      </c>
      <c r="C20" s="10">
        <v>1</v>
      </c>
      <c r="D20" s="10">
        <v>2</v>
      </c>
      <c r="E20" s="10">
        <v>1</v>
      </c>
      <c r="F20" s="10"/>
      <c r="G20" s="10">
        <v>5</v>
      </c>
    </row>
    <row r="21" spans="1:13" x14ac:dyDescent="0.3">
      <c r="A21" s="2" t="s">
        <v>218</v>
      </c>
      <c r="B21" s="10">
        <v>13</v>
      </c>
      <c r="C21" s="10">
        <v>12</v>
      </c>
      <c r="D21" s="10">
        <v>9</v>
      </c>
      <c r="E21" s="10">
        <v>15</v>
      </c>
      <c r="F21" s="10">
        <v>11</v>
      </c>
      <c r="G21" s="10">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5E83A-379E-468D-9DB3-5D397C81EDCC}">
  <dimension ref="A3:B9"/>
  <sheetViews>
    <sheetView workbookViewId="0">
      <selection activeCell="K10" sqref="K10"/>
    </sheetView>
  </sheetViews>
  <sheetFormatPr defaultRowHeight="14.4" x14ac:dyDescent="0.3"/>
  <cols>
    <col min="1" max="1" width="12.5546875" bestFit="1" customWidth="1"/>
    <col min="2" max="2" width="13.88671875" bestFit="1" customWidth="1"/>
  </cols>
  <sheetData>
    <row r="3" spans="1:2" x14ac:dyDescent="0.3">
      <c r="A3" s="5" t="s">
        <v>217</v>
      </c>
      <c r="B3" t="s">
        <v>219</v>
      </c>
    </row>
    <row r="4" spans="1:2" x14ac:dyDescent="0.3">
      <c r="A4" s="2" t="s">
        <v>176</v>
      </c>
      <c r="B4">
        <v>11</v>
      </c>
    </row>
    <row r="5" spans="1:2" x14ac:dyDescent="0.3">
      <c r="A5" s="2" t="s">
        <v>178</v>
      </c>
      <c r="B5">
        <v>9</v>
      </c>
    </row>
    <row r="6" spans="1:2" x14ac:dyDescent="0.3">
      <c r="A6" s="2" t="s">
        <v>174</v>
      </c>
      <c r="B6">
        <v>12</v>
      </c>
    </row>
    <row r="7" spans="1:2" x14ac:dyDescent="0.3">
      <c r="A7" s="2" t="s">
        <v>177</v>
      </c>
      <c r="B7">
        <v>13</v>
      </c>
    </row>
    <row r="8" spans="1:2" x14ac:dyDescent="0.3">
      <c r="A8" s="2" t="s">
        <v>175</v>
      </c>
      <c r="B8">
        <v>15</v>
      </c>
    </row>
    <row r="9" spans="1:2" x14ac:dyDescent="0.3">
      <c r="A9" s="2" t="s">
        <v>218</v>
      </c>
      <c r="B9">
        <v>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865B-0B47-467B-945D-FBE137F8EEB7}">
  <dimension ref="A6:K13"/>
  <sheetViews>
    <sheetView workbookViewId="0">
      <selection activeCell="N14" sqref="N14"/>
    </sheetView>
  </sheetViews>
  <sheetFormatPr defaultRowHeight="14.4" x14ac:dyDescent="0.3"/>
  <cols>
    <col min="1" max="1" width="10.77734375" bestFit="1" customWidth="1"/>
    <col min="2" max="2" width="8.33203125" bestFit="1" customWidth="1"/>
    <col min="4" max="4" width="16" bestFit="1" customWidth="1"/>
    <col min="5" max="5" width="15.88671875" bestFit="1" customWidth="1"/>
    <col min="7" max="7" width="10.77734375" bestFit="1" customWidth="1"/>
    <col min="8" max="8" width="8.44140625" bestFit="1" customWidth="1"/>
    <col min="10" max="10" width="16" bestFit="1" customWidth="1"/>
    <col min="11" max="11" width="12.5546875" bestFit="1" customWidth="1"/>
  </cols>
  <sheetData>
    <row r="6" spans="1:11" x14ac:dyDescent="0.3">
      <c r="D6" s="5" t="s">
        <v>226</v>
      </c>
      <c r="E6" t="s">
        <v>228</v>
      </c>
      <c r="G6" s="5" t="s">
        <v>4</v>
      </c>
      <c r="H6" t="s">
        <v>220</v>
      </c>
      <c r="J6" s="5" t="s">
        <v>226</v>
      </c>
      <c r="K6" t="s">
        <v>227</v>
      </c>
    </row>
    <row r="7" spans="1:11" x14ac:dyDescent="0.3">
      <c r="D7" s="2" t="s">
        <v>50</v>
      </c>
      <c r="E7" s="10">
        <v>57</v>
      </c>
      <c r="G7" s="2" t="s">
        <v>18</v>
      </c>
      <c r="H7" s="10">
        <v>15</v>
      </c>
      <c r="J7" s="2" t="s">
        <v>199</v>
      </c>
      <c r="K7" s="10">
        <v>95</v>
      </c>
    </row>
    <row r="8" spans="1:11" x14ac:dyDescent="0.3">
      <c r="D8" s="2" t="s">
        <v>88</v>
      </c>
      <c r="E8" s="10">
        <v>64.25</v>
      </c>
      <c r="G8" s="2" t="s">
        <v>47</v>
      </c>
      <c r="H8" s="10">
        <v>13</v>
      </c>
      <c r="J8" s="2" t="s">
        <v>192</v>
      </c>
      <c r="K8" s="10">
        <v>92</v>
      </c>
    </row>
    <row r="9" spans="1:11" x14ac:dyDescent="0.3">
      <c r="D9" s="2" t="s">
        <v>83</v>
      </c>
      <c r="E9" s="10">
        <v>59.222222222222221</v>
      </c>
      <c r="G9" s="2" t="s">
        <v>23</v>
      </c>
      <c r="H9" s="10">
        <v>11</v>
      </c>
      <c r="J9" s="2" t="s">
        <v>182</v>
      </c>
      <c r="K9" s="10">
        <v>92</v>
      </c>
    </row>
    <row r="10" spans="1:11" x14ac:dyDescent="0.3">
      <c r="A10" s="5" t="s">
        <v>181</v>
      </c>
      <c r="B10" t="s">
        <v>235</v>
      </c>
      <c r="D10" s="2" t="s">
        <v>16</v>
      </c>
      <c r="E10" s="10">
        <v>71.666666666666671</v>
      </c>
      <c r="G10" s="2" t="s">
        <v>9</v>
      </c>
      <c r="H10" s="10">
        <v>8</v>
      </c>
      <c r="J10" s="2" t="s">
        <v>189</v>
      </c>
      <c r="K10" s="10">
        <v>92</v>
      </c>
    </row>
    <row r="11" spans="1:11" x14ac:dyDescent="0.3">
      <c r="A11" s="2" t="s">
        <v>223</v>
      </c>
      <c r="B11" s="10">
        <v>7</v>
      </c>
      <c r="D11" s="2" t="s">
        <v>99</v>
      </c>
      <c r="E11" s="10">
        <v>66.63636363636364</v>
      </c>
      <c r="G11" s="2" t="s">
        <v>101</v>
      </c>
      <c r="H11" s="10">
        <v>8</v>
      </c>
      <c r="J11" s="2" t="s">
        <v>183</v>
      </c>
      <c r="K11" s="10">
        <v>91</v>
      </c>
    </row>
    <row r="12" spans="1:11" x14ac:dyDescent="0.3">
      <c r="A12" s="2" t="s">
        <v>224</v>
      </c>
      <c r="B12" s="10">
        <v>53</v>
      </c>
      <c r="D12" s="2" t="s">
        <v>218</v>
      </c>
      <c r="E12" s="10">
        <v>64.216666666666669</v>
      </c>
      <c r="G12" s="2" t="s">
        <v>193</v>
      </c>
      <c r="H12" s="10">
        <v>5</v>
      </c>
      <c r="J12" s="2" t="s">
        <v>218</v>
      </c>
      <c r="K12" s="10">
        <v>95</v>
      </c>
    </row>
    <row r="13" spans="1:11" x14ac:dyDescent="0.3">
      <c r="A13" s="2" t="s">
        <v>218</v>
      </c>
      <c r="B13" s="10">
        <v>60</v>
      </c>
      <c r="G13" s="2" t="s">
        <v>218</v>
      </c>
      <c r="H13" s="10">
        <v>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8FCF9-5B86-4336-81EC-9E65EFC67AD4}">
  <dimension ref="A2:J3"/>
  <sheetViews>
    <sheetView showGridLines="0" zoomScale="131" workbookViewId="0">
      <selection activeCell="H14" sqref="H14"/>
    </sheetView>
  </sheetViews>
  <sheetFormatPr defaultRowHeight="14.4" x14ac:dyDescent="0.3"/>
  <cols>
    <col min="1" max="1" width="23.21875" customWidth="1"/>
    <col min="4" max="4" width="24.109375" bestFit="1" customWidth="1"/>
    <col min="7" max="7" width="10.6640625" bestFit="1" customWidth="1"/>
    <col min="10" max="10" width="16.109375" bestFit="1" customWidth="1"/>
  </cols>
  <sheetData>
    <row r="2" spans="1:10" ht="25.8" x14ac:dyDescent="0.5">
      <c r="A2" s="7"/>
      <c r="D2" s="7" t="s">
        <v>236</v>
      </c>
      <c r="G2" s="7" t="s">
        <v>237</v>
      </c>
      <c r="J2" s="7" t="s">
        <v>238</v>
      </c>
    </row>
    <row r="3" spans="1:10" ht="25.8" x14ac:dyDescent="0.5">
      <c r="A3" s="8">
        <f>COUNTA(Table8[Name])</f>
        <v>60</v>
      </c>
      <c r="D3" s="7">
        <f>ROUND(AVERAGE(Table8[Marks]),0)</f>
        <v>64</v>
      </c>
      <c r="G3" s="9">
        <f>COUNTIF(Table8[Result],"Pass")/COUNTA(Table8[Result])</f>
        <v>0.8833333333333333</v>
      </c>
      <c r="J3" s="7">
        <f>MAX(Table8[Marks])</f>
        <v>95</v>
      </c>
    </row>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2D7F2-2A32-4172-91CA-71B43D06CC4E}">
  <dimension ref="A1:J65"/>
  <sheetViews>
    <sheetView workbookViewId="0">
      <selection activeCell="K11" sqref="K11"/>
    </sheetView>
  </sheetViews>
  <sheetFormatPr defaultRowHeight="14.4" x14ac:dyDescent="0.3"/>
  <cols>
    <col min="1" max="5" width="8.88671875" style="4"/>
    <col min="6" max="6" width="11" style="4" bestFit="1" customWidth="1"/>
    <col min="7" max="7" width="8.88671875" style="2" customWidth="1"/>
    <col min="10" max="10" width="10.77734375" bestFit="1" customWidth="1"/>
  </cols>
  <sheetData>
    <row r="1" spans="1:10" x14ac:dyDescent="0.3">
      <c r="A1" s="3" t="s">
        <v>0</v>
      </c>
      <c r="B1" s="3" t="s">
        <v>1</v>
      </c>
      <c r="C1" s="3" t="s">
        <v>179</v>
      </c>
      <c r="D1" s="3" t="s">
        <v>3</v>
      </c>
      <c r="E1" s="3" t="s">
        <v>4</v>
      </c>
      <c r="F1" s="3" t="s">
        <v>5</v>
      </c>
      <c r="G1" s="3" t="s">
        <v>216</v>
      </c>
      <c r="H1" s="3" t="s">
        <v>180</v>
      </c>
      <c r="I1" s="3" t="s">
        <v>181</v>
      </c>
      <c r="J1" s="3" t="s">
        <v>234</v>
      </c>
    </row>
    <row r="2" spans="1:10" x14ac:dyDescent="0.3">
      <c r="A2" s="4">
        <v>300</v>
      </c>
      <c r="B2" s="4" t="s">
        <v>182</v>
      </c>
      <c r="C2" s="4" t="s">
        <v>88</v>
      </c>
      <c r="D2" s="4">
        <v>81</v>
      </c>
      <c r="E2" s="4" t="s">
        <v>9</v>
      </c>
      <c r="F2" s="4">
        <v>9321296288</v>
      </c>
      <c r="G2" s="4">
        <v>1</v>
      </c>
      <c r="H2" s="4" t="s">
        <v>222</v>
      </c>
      <c r="I2" s="4" t="s">
        <v>224</v>
      </c>
      <c r="J2" s="4" t="s">
        <v>174</v>
      </c>
    </row>
    <row r="3" spans="1:10" x14ac:dyDescent="0.3">
      <c r="A3" s="4">
        <v>301</v>
      </c>
      <c r="B3" s="4" t="s">
        <v>183</v>
      </c>
      <c r="C3" s="4" t="s">
        <v>88</v>
      </c>
      <c r="D3" s="4">
        <v>82</v>
      </c>
      <c r="E3" s="4" t="s">
        <v>18</v>
      </c>
      <c r="F3" s="4">
        <v>9368431884</v>
      </c>
      <c r="G3" s="4">
        <v>1</v>
      </c>
      <c r="H3" s="4" t="s">
        <v>222</v>
      </c>
      <c r="I3" s="4" t="s">
        <v>224</v>
      </c>
      <c r="J3" s="4" t="s">
        <v>174</v>
      </c>
    </row>
    <row r="4" spans="1:10" x14ac:dyDescent="0.3">
      <c r="A4" s="4">
        <v>302</v>
      </c>
      <c r="B4" s="4" t="s">
        <v>184</v>
      </c>
      <c r="C4" s="4" t="s">
        <v>16</v>
      </c>
      <c r="D4" s="4">
        <v>65</v>
      </c>
      <c r="E4" s="4" t="s">
        <v>18</v>
      </c>
      <c r="F4" s="4">
        <v>9404532739</v>
      </c>
      <c r="G4" s="4">
        <v>1</v>
      </c>
      <c r="H4" s="4" t="s">
        <v>222</v>
      </c>
      <c r="I4" s="4" t="s">
        <v>224</v>
      </c>
      <c r="J4" s="4" t="s">
        <v>175</v>
      </c>
    </row>
    <row r="5" spans="1:10" x14ac:dyDescent="0.3">
      <c r="A5" s="4">
        <v>303</v>
      </c>
      <c r="B5" s="4" t="s">
        <v>185</v>
      </c>
      <c r="C5" s="4" t="s">
        <v>99</v>
      </c>
      <c r="D5" s="4">
        <v>78</v>
      </c>
      <c r="E5" s="4" t="s">
        <v>23</v>
      </c>
      <c r="F5" s="4">
        <v>9357032624</v>
      </c>
      <c r="G5" s="4">
        <v>1</v>
      </c>
      <c r="H5" s="4" t="s">
        <v>222</v>
      </c>
      <c r="I5" s="4" t="s">
        <v>224</v>
      </c>
      <c r="J5" s="4" t="s">
        <v>176</v>
      </c>
    </row>
    <row r="6" spans="1:10" x14ac:dyDescent="0.3">
      <c r="A6" s="4">
        <v>304</v>
      </c>
      <c r="B6" s="4" t="s">
        <v>186</v>
      </c>
      <c r="C6" s="4" t="s">
        <v>16</v>
      </c>
      <c r="D6" s="4">
        <v>44</v>
      </c>
      <c r="E6" s="4" t="s">
        <v>23</v>
      </c>
      <c r="F6" s="4">
        <v>9425194051</v>
      </c>
      <c r="G6" s="4">
        <v>1</v>
      </c>
      <c r="H6" s="4" t="s">
        <v>231</v>
      </c>
      <c r="I6" s="4" t="s">
        <v>224</v>
      </c>
      <c r="J6" s="4" t="s">
        <v>175</v>
      </c>
    </row>
    <row r="7" spans="1:10" x14ac:dyDescent="0.3">
      <c r="A7" s="4">
        <v>305</v>
      </c>
      <c r="B7" s="4" t="s">
        <v>187</v>
      </c>
      <c r="C7" s="4" t="s">
        <v>83</v>
      </c>
      <c r="D7" s="4">
        <v>75</v>
      </c>
      <c r="E7" s="4" t="s">
        <v>9</v>
      </c>
      <c r="F7" s="4">
        <v>9801129497</v>
      </c>
      <c r="G7" s="4">
        <v>1</v>
      </c>
      <c r="H7" s="4" t="s">
        <v>222</v>
      </c>
      <c r="I7" s="4" t="s">
        <v>224</v>
      </c>
      <c r="J7" s="4" t="s">
        <v>178</v>
      </c>
    </row>
    <row r="8" spans="1:10" x14ac:dyDescent="0.3">
      <c r="A8" s="4">
        <v>306</v>
      </c>
      <c r="B8" s="4" t="s">
        <v>188</v>
      </c>
      <c r="C8" s="4" t="s">
        <v>50</v>
      </c>
      <c r="D8" s="4">
        <v>24</v>
      </c>
      <c r="E8" s="4" t="s">
        <v>23</v>
      </c>
      <c r="F8" s="4">
        <v>9423372648</v>
      </c>
      <c r="G8" s="4">
        <v>1</v>
      </c>
      <c r="H8" s="4" t="s">
        <v>233</v>
      </c>
      <c r="I8" s="4" t="s">
        <v>223</v>
      </c>
      <c r="J8" s="4" t="s">
        <v>177</v>
      </c>
    </row>
    <row r="9" spans="1:10" x14ac:dyDescent="0.3">
      <c r="A9" s="4">
        <v>307</v>
      </c>
      <c r="B9" s="4" t="s">
        <v>189</v>
      </c>
      <c r="C9" s="4" t="s">
        <v>16</v>
      </c>
      <c r="D9" s="4">
        <v>92</v>
      </c>
      <c r="E9" s="4" t="s">
        <v>9</v>
      </c>
      <c r="F9" s="4">
        <v>9745645845</v>
      </c>
      <c r="G9" s="4">
        <v>1</v>
      </c>
      <c r="H9" s="4" t="s">
        <v>230</v>
      </c>
      <c r="I9" s="4" t="s">
        <v>224</v>
      </c>
      <c r="J9" s="4" t="s">
        <v>175</v>
      </c>
    </row>
    <row r="10" spans="1:10" x14ac:dyDescent="0.3">
      <c r="A10" s="4">
        <v>308</v>
      </c>
      <c r="B10" s="4" t="s">
        <v>190</v>
      </c>
      <c r="C10" s="4" t="s">
        <v>16</v>
      </c>
      <c r="D10" s="4">
        <v>64</v>
      </c>
      <c r="E10" s="4" t="s">
        <v>23</v>
      </c>
      <c r="F10" s="4">
        <v>9544615904</v>
      </c>
      <c r="G10" s="4">
        <v>1</v>
      </c>
      <c r="H10" s="4" t="s">
        <v>222</v>
      </c>
      <c r="I10" s="4" t="s">
        <v>224</v>
      </c>
      <c r="J10" s="4" t="s">
        <v>175</v>
      </c>
    </row>
    <row r="11" spans="1:10" x14ac:dyDescent="0.3">
      <c r="A11" s="4">
        <v>309</v>
      </c>
      <c r="B11" s="4" t="s">
        <v>191</v>
      </c>
      <c r="C11" s="4" t="s">
        <v>16</v>
      </c>
      <c r="D11" s="4">
        <v>54</v>
      </c>
      <c r="E11" s="4" t="s">
        <v>47</v>
      </c>
      <c r="F11" s="4">
        <v>9277100620</v>
      </c>
      <c r="G11" s="4">
        <v>1</v>
      </c>
      <c r="H11" s="4" t="s">
        <v>231</v>
      </c>
      <c r="I11" s="4" t="s">
        <v>224</v>
      </c>
      <c r="J11" s="4" t="s">
        <v>175</v>
      </c>
    </row>
    <row r="12" spans="1:10" x14ac:dyDescent="0.3">
      <c r="A12" s="4">
        <v>310</v>
      </c>
      <c r="B12" s="4" t="s">
        <v>192</v>
      </c>
      <c r="C12" s="4" t="s">
        <v>50</v>
      </c>
      <c r="D12" s="4">
        <v>61</v>
      </c>
      <c r="E12" s="4" t="s">
        <v>193</v>
      </c>
      <c r="F12" s="4">
        <v>9105377912</v>
      </c>
      <c r="G12" s="4">
        <v>1</v>
      </c>
      <c r="H12" s="4" t="s">
        <v>222</v>
      </c>
      <c r="I12" s="4" t="s">
        <v>224</v>
      </c>
      <c r="J12" s="4" t="s">
        <v>177</v>
      </c>
    </row>
    <row r="13" spans="1:10" x14ac:dyDescent="0.3">
      <c r="A13" s="4">
        <v>311</v>
      </c>
      <c r="B13" s="4" t="s">
        <v>194</v>
      </c>
      <c r="C13" s="4" t="s">
        <v>88</v>
      </c>
      <c r="D13" s="4">
        <v>77</v>
      </c>
      <c r="E13" s="4" t="s">
        <v>193</v>
      </c>
      <c r="F13" s="4">
        <v>9269900364</v>
      </c>
      <c r="G13" s="4">
        <v>1</v>
      </c>
      <c r="H13" s="4" t="s">
        <v>222</v>
      </c>
      <c r="I13" s="4" t="s">
        <v>224</v>
      </c>
      <c r="J13" s="4" t="s">
        <v>174</v>
      </c>
    </row>
    <row r="14" spans="1:10" x14ac:dyDescent="0.3">
      <c r="A14" s="4">
        <v>312</v>
      </c>
      <c r="B14" s="4" t="s">
        <v>194</v>
      </c>
      <c r="C14" s="4" t="s">
        <v>83</v>
      </c>
      <c r="D14" s="4">
        <v>86</v>
      </c>
      <c r="E14" s="4" t="s">
        <v>193</v>
      </c>
      <c r="F14" s="4">
        <v>9636742075</v>
      </c>
      <c r="G14" s="4">
        <v>1</v>
      </c>
      <c r="H14" s="4" t="s">
        <v>222</v>
      </c>
      <c r="I14" s="4" t="s">
        <v>224</v>
      </c>
      <c r="J14" s="4" t="s">
        <v>178</v>
      </c>
    </row>
    <row r="15" spans="1:10" x14ac:dyDescent="0.3">
      <c r="A15" s="4">
        <v>313</v>
      </c>
      <c r="B15" s="4" t="s">
        <v>195</v>
      </c>
      <c r="C15" s="4" t="s">
        <v>16</v>
      </c>
      <c r="D15" s="4">
        <v>89</v>
      </c>
      <c r="E15" s="4" t="s">
        <v>9</v>
      </c>
      <c r="F15" s="4">
        <v>9678389338</v>
      </c>
      <c r="G15" s="4">
        <v>1</v>
      </c>
      <c r="H15" s="4" t="s">
        <v>222</v>
      </c>
      <c r="I15" s="4" t="s">
        <v>224</v>
      </c>
      <c r="J15" s="4" t="s">
        <v>175</v>
      </c>
    </row>
    <row r="16" spans="1:10" x14ac:dyDescent="0.3">
      <c r="A16" s="4">
        <v>314</v>
      </c>
      <c r="B16" s="4" t="s">
        <v>196</v>
      </c>
      <c r="C16" s="4" t="s">
        <v>50</v>
      </c>
      <c r="D16" s="4">
        <v>20</v>
      </c>
      <c r="E16" s="4" t="s">
        <v>47</v>
      </c>
      <c r="F16" s="4">
        <v>9169729565</v>
      </c>
      <c r="G16" s="4">
        <v>1</v>
      </c>
      <c r="H16" s="4" t="s">
        <v>233</v>
      </c>
      <c r="I16" s="4" t="s">
        <v>223</v>
      </c>
      <c r="J16" s="4" t="s">
        <v>177</v>
      </c>
    </row>
    <row r="17" spans="1:10" x14ac:dyDescent="0.3">
      <c r="A17" s="4">
        <v>315</v>
      </c>
      <c r="B17" s="4" t="s">
        <v>197</v>
      </c>
      <c r="C17" s="4" t="s">
        <v>50</v>
      </c>
      <c r="D17" s="4">
        <v>78</v>
      </c>
      <c r="E17" s="4" t="s">
        <v>23</v>
      </c>
      <c r="F17" s="4">
        <v>9931721977</v>
      </c>
      <c r="G17" s="4">
        <v>1</v>
      </c>
      <c r="H17" s="4" t="s">
        <v>222</v>
      </c>
      <c r="I17" s="4" t="s">
        <v>224</v>
      </c>
      <c r="J17" s="4" t="s">
        <v>177</v>
      </c>
    </row>
    <row r="18" spans="1:10" x14ac:dyDescent="0.3">
      <c r="A18" s="4">
        <v>316</v>
      </c>
      <c r="B18" s="4" t="s">
        <v>198</v>
      </c>
      <c r="C18" s="4" t="s">
        <v>50</v>
      </c>
      <c r="D18" s="4">
        <v>62</v>
      </c>
      <c r="E18" s="4" t="s">
        <v>9</v>
      </c>
      <c r="F18" s="4">
        <v>9661984896</v>
      </c>
      <c r="G18" s="4">
        <v>1</v>
      </c>
      <c r="H18" s="4" t="s">
        <v>222</v>
      </c>
      <c r="I18" s="4" t="s">
        <v>224</v>
      </c>
      <c r="J18" s="4" t="s">
        <v>177</v>
      </c>
    </row>
    <row r="19" spans="1:10" x14ac:dyDescent="0.3">
      <c r="A19" s="4">
        <v>317</v>
      </c>
      <c r="B19" s="4" t="s">
        <v>199</v>
      </c>
      <c r="C19" s="4" t="s">
        <v>16</v>
      </c>
      <c r="D19" s="4">
        <v>95</v>
      </c>
      <c r="E19" s="4" t="s">
        <v>101</v>
      </c>
      <c r="F19" s="4">
        <v>9774770785</v>
      </c>
      <c r="G19" s="4">
        <v>1</v>
      </c>
      <c r="H19" s="4" t="s">
        <v>230</v>
      </c>
      <c r="I19" s="4" t="s">
        <v>224</v>
      </c>
      <c r="J19" s="4" t="s">
        <v>175</v>
      </c>
    </row>
    <row r="20" spans="1:10" x14ac:dyDescent="0.3">
      <c r="A20" s="4">
        <v>318</v>
      </c>
      <c r="B20" s="4" t="s">
        <v>200</v>
      </c>
      <c r="C20" s="4" t="s">
        <v>16</v>
      </c>
      <c r="D20" s="4">
        <v>57</v>
      </c>
      <c r="E20" s="4" t="s">
        <v>101</v>
      </c>
      <c r="F20" s="4">
        <v>9149645403</v>
      </c>
      <c r="G20" s="4">
        <v>1</v>
      </c>
      <c r="H20" s="4" t="s">
        <v>231</v>
      </c>
      <c r="I20" s="4" t="s">
        <v>224</v>
      </c>
      <c r="J20" s="4" t="s">
        <v>175</v>
      </c>
    </row>
    <row r="21" spans="1:10" x14ac:dyDescent="0.3">
      <c r="A21" s="4">
        <v>319</v>
      </c>
      <c r="B21" s="4" t="s">
        <v>196</v>
      </c>
      <c r="C21" s="4" t="s">
        <v>99</v>
      </c>
      <c r="D21" s="4">
        <v>81</v>
      </c>
      <c r="E21" s="4" t="s">
        <v>23</v>
      </c>
      <c r="F21" s="4">
        <v>9739018940</v>
      </c>
      <c r="G21" s="4">
        <v>1</v>
      </c>
      <c r="H21" s="4" t="s">
        <v>222</v>
      </c>
      <c r="I21" s="4" t="s">
        <v>224</v>
      </c>
      <c r="J21" s="4" t="s">
        <v>176</v>
      </c>
    </row>
    <row r="22" spans="1:10" x14ac:dyDescent="0.3">
      <c r="A22" s="4">
        <v>320</v>
      </c>
      <c r="B22" s="4" t="s">
        <v>192</v>
      </c>
      <c r="C22" s="4" t="s">
        <v>88</v>
      </c>
      <c r="D22" s="4">
        <v>44</v>
      </c>
      <c r="E22" s="4" t="s">
        <v>18</v>
      </c>
      <c r="F22" s="4">
        <v>9203080209</v>
      </c>
      <c r="G22" s="4">
        <v>1</v>
      </c>
      <c r="H22" s="4" t="s">
        <v>231</v>
      </c>
      <c r="I22" s="4" t="s">
        <v>224</v>
      </c>
      <c r="J22" s="4" t="s">
        <v>174</v>
      </c>
    </row>
    <row r="23" spans="1:10" x14ac:dyDescent="0.3">
      <c r="A23" s="4">
        <v>321</v>
      </c>
      <c r="B23" s="4" t="s">
        <v>201</v>
      </c>
      <c r="C23" s="4" t="s">
        <v>83</v>
      </c>
      <c r="D23" s="4">
        <v>74</v>
      </c>
      <c r="E23" s="4" t="s">
        <v>101</v>
      </c>
      <c r="F23" s="4">
        <v>9898267772</v>
      </c>
      <c r="G23" s="4">
        <v>1</v>
      </c>
      <c r="H23" s="4" t="s">
        <v>222</v>
      </c>
      <c r="I23" s="4" t="s">
        <v>224</v>
      </c>
      <c r="J23" s="4" t="s">
        <v>178</v>
      </c>
    </row>
    <row r="24" spans="1:10" x14ac:dyDescent="0.3">
      <c r="A24" s="4">
        <v>322</v>
      </c>
      <c r="B24" s="4" t="s">
        <v>202</v>
      </c>
      <c r="C24" s="4" t="s">
        <v>88</v>
      </c>
      <c r="D24" s="4">
        <v>74</v>
      </c>
      <c r="E24" s="4" t="s">
        <v>23</v>
      </c>
      <c r="F24" s="4">
        <v>9510000407</v>
      </c>
      <c r="G24" s="4">
        <v>1</v>
      </c>
      <c r="H24" s="4" t="s">
        <v>222</v>
      </c>
      <c r="I24" s="4" t="s">
        <v>224</v>
      </c>
      <c r="J24" s="4" t="s">
        <v>174</v>
      </c>
    </row>
    <row r="25" spans="1:10" x14ac:dyDescent="0.3">
      <c r="A25" s="4">
        <v>323</v>
      </c>
      <c r="B25" s="4" t="s">
        <v>200</v>
      </c>
      <c r="C25" s="4" t="s">
        <v>88</v>
      </c>
      <c r="D25" s="4">
        <v>64</v>
      </c>
      <c r="E25" s="4" t="s">
        <v>47</v>
      </c>
      <c r="F25" s="4">
        <v>9590564469</v>
      </c>
      <c r="G25" s="4">
        <v>1</v>
      </c>
      <c r="H25" s="4" t="s">
        <v>222</v>
      </c>
      <c r="I25" s="4" t="s">
        <v>224</v>
      </c>
      <c r="J25" s="4" t="s">
        <v>174</v>
      </c>
    </row>
    <row r="26" spans="1:10" x14ac:dyDescent="0.3">
      <c r="A26" s="4">
        <v>324</v>
      </c>
      <c r="B26" s="4" t="s">
        <v>197</v>
      </c>
      <c r="C26" s="4" t="s">
        <v>99</v>
      </c>
      <c r="D26" s="4">
        <v>83</v>
      </c>
      <c r="E26" s="4" t="s">
        <v>18</v>
      </c>
      <c r="F26" s="4">
        <v>9383062032</v>
      </c>
      <c r="G26" s="4">
        <v>1</v>
      </c>
      <c r="H26" s="4" t="s">
        <v>222</v>
      </c>
      <c r="I26" s="4" t="s">
        <v>224</v>
      </c>
      <c r="J26" s="4" t="s">
        <v>176</v>
      </c>
    </row>
    <row r="27" spans="1:10" x14ac:dyDescent="0.3">
      <c r="A27" s="4">
        <v>325</v>
      </c>
      <c r="B27" s="4" t="s">
        <v>203</v>
      </c>
      <c r="C27" s="4" t="s">
        <v>50</v>
      </c>
      <c r="D27" s="4">
        <v>81</v>
      </c>
      <c r="E27" s="4" t="s">
        <v>9</v>
      </c>
      <c r="F27" s="4">
        <v>9190140029</v>
      </c>
      <c r="G27" s="4">
        <v>1</v>
      </c>
      <c r="H27" s="4" t="s">
        <v>222</v>
      </c>
      <c r="I27" s="4" t="s">
        <v>224</v>
      </c>
      <c r="J27" s="4" t="s">
        <v>177</v>
      </c>
    </row>
    <row r="28" spans="1:10" x14ac:dyDescent="0.3">
      <c r="A28" s="4">
        <v>326</v>
      </c>
      <c r="B28" s="4" t="s">
        <v>195</v>
      </c>
      <c r="C28" s="4" t="s">
        <v>16</v>
      </c>
      <c r="D28" s="4">
        <v>73</v>
      </c>
      <c r="E28" s="4" t="s">
        <v>18</v>
      </c>
      <c r="F28" s="4">
        <v>9170317897</v>
      </c>
      <c r="G28" s="4">
        <v>1</v>
      </c>
      <c r="H28" s="4" t="s">
        <v>222</v>
      </c>
      <c r="I28" s="4" t="s">
        <v>224</v>
      </c>
      <c r="J28" s="4" t="s">
        <v>175</v>
      </c>
    </row>
    <row r="29" spans="1:10" x14ac:dyDescent="0.3">
      <c r="A29" s="4">
        <v>327</v>
      </c>
      <c r="B29" s="4" t="s">
        <v>204</v>
      </c>
      <c r="C29" s="4" t="s">
        <v>99</v>
      </c>
      <c r="D29" s="4">
        <v>61</v>
      </c>
      <c r="E29" s="4" t="s">
        <v>101</v>
      </c>
      <c r="F29" s="4">
        <v>9525776887</v>
      </c>
      <c r="G29" s="4">
        <v>1</v>
      </c>
      <c r="H29" s="4" t="s">
        <v>222</v>
      </c>
      <c r="I29" s="4" t="s">
        <v>224</v>
      </c>
      <c r="J29" s="4" t="s">
        <v>176</v>
      </c>
    </row>
    <row r="30" spans="1:10" x14ac:dyDescent="0.3">
      <c r="A30" s="4">
        <v>328</v>
      </c>
      <c r="B30" s="4" t="s">
        <v>183</v>
      </c>
      <c r="C30" s="4" t="s">
        <v>99</v>
      </c>
      <c r="D30" s="4">
        <v>91</v>
      </c>
      <c r="E30" s="4" t="s">
        <v>47</v>
      </c>
      <c r="F30" s="4">
        <v>9157250803</v>
      </c>
      <c r="G30" s="4">
        <v>1</v>
      </c>
      <c r="H30" s="4" t="s">
        <v>230</v>
      </c>
      <c r="I30" s="4" t="s">
        <v>224</v>
      </c>
      <c r="J30" s="4" t="s">
        <v>176</v>
      </c>
    </row>
    <row r="31" spans="1:10" x14ac:dyDescent="0.3">
      <c r="A31" s="4">
        <v>329</v>
      </c>
      <c r="B31" s="4" t="s">
        <v>205</v>
      </c>
      <c r="C31" s="4" t="s">
        <v>83</v>
      </c>
      <c r="D31" s="4">
        <v>76</v>
      </c>
      <c r="E31" s="4" t="s">
        <v>18</v>
      </c>
      <c r="F31" s="4">
        <v>9963882406</v>
      </c>
      <c r="G31" s="4">
        <v>1</v>
      </c>
      <c r="H31" s="4" t="s">
        <v>222</v>
      </c>
      <c r="I31" s="4" t="s">
        <v>224</v>
      </c>
      <c r="J31" s="4" t="s">
        <v>178</v>
      </c>
    </row>
    <row r="32" spans="1:10" x14ac:dyDescent="0.3">
      <c r="A32" s="4">
        <v>330</v>
      </c>
      <c r="B32" s="4" t="s">
        <v>182</v>
      </c>
      <c r="C32" s="4" t="s">
        <v>16</v>
      </c>
      <c r="D32" s="4">
        <v>92</v>
      </c>
      <c r="E32" s="4" t="s">
        <v>18</v>
      </c>
      <c r="F32" s="4">
        <v>9997217880</v>
      </c>
      <c r="G32" s="4">
        <v>1</v>
      </c>
      <c r="H32" s="4" t="s">
        <v>230</v>
      </c>
      <c r="I32" s="4" t="s">
        <v>224</v>
      </c>
      <c r="J32" s="4" t="s">
        <v>175</v>
      </c>
    </row>
    <row r="33" spans="1:10" x14ac:dyDescent="0.3">
      <c r="A33" s="4">
        <v>331</v>
      </c>
      <c r="B33" s="4" t="s">
        <v>110</v>
      </c>
      <c r="C33" s="4" t="s">
        <v>88</v>
      </c>
      <c r="D33" s="4">
        <v>66</v>
      </c>
      <c r="E33" s="4" t="s">
        <v>18</v>
      </c>
      <c r="F33" s="4">
        <v>9526305829</v>
      </c>
      <c r="G33" s="4">
        <v>1</v>
      </c>
      <c r="H33" s="4" t="s">
        <v>222</v>
      </c>
      <c r="I33" s="4" t="s">
        <v>224</v>
      </c>
      <c r="J33" s="4" t="s">
        <v>174</v>
      </c>
    </row>
    <row r="34" spans="1:10" x14ac:dyDescent="0.3">
      <c r="A34" s="4">
        <v>332</v>
      </c>
      <c r="B34" s="4" t="s">
        <v>206</v>
      </c>
      <c r="C34" s="4" t="s">
        <v>83</v>
      </c>
      <c r="D34" s="4">
        <v>41</v>
      </c>
      <c r="E34" s="4" t="s">
        <v>193</v>
      </c>
      <c r="F34" s="4">
        <v>9676275010</v>
      </c>
      <c r="G34" s="4">
        <v>1</v>
      </c>
      <c r="H34" s="4" t="s">
        <v>231</v>
      </c>
      <c r="I34" s="4" t="s">
        <v>224</v>
      </c>
      <c r="J34" s="4" t="s">
        <v>178</v>
      </c>
    </row>
    <row r="35" spans="1:10" x14ac:dyDescent="0.3">
      <c r="A35" s="4">
        <v>333</v>
      </c>
      <c r="B35" s="4" t="s">
        <v>182</v>
      </c>
      <c r="C35" s="4" t="s">
        <v>99</v>
      </c>
      <c r="D35" s="4">
        <v>38</v>
      </c>
      <c r="E35" s="4" t="s">
        <v>47</v>
      </c>
      <c r="F35" s="4">
        <v>9577540267</v>
      </c>
      <c r="G35" s="4">
        <v>1</v>
      </c>
      <c r="H35" s="4" t="s">
        <v>232</v>
      </c>
      <c r="I35" s="4" t="s">
        <v>224</v>
      </c>
      <c r="J35" s="4" t="s">
        <v>176</v>
      </c>
    </row>
    <row r="36" spans="1:10" x14ac:dyDescent="0.3">
      <c r="A36" s="4">
        <v>334</v>
      </c>
      <c r="B36" s="4" t="s">
        <v>207</v>
      </c>
      <c r="C36" s="4" t="s">
        <v>16</v>
      </c>
      <c r="D36" s="4">
        <v>74</v>
      </c>
      <c r="E36" s="4" t="s">
        <v>193</v>
      </c>
      <c r="F36" s="4">
        <v>9468666913</v>
      </c>
      <c r="G36" s="4">
        <v>1</v>
      </c>
      <c r="H36" s="4" t="s">
        <v>222</v>
      </c>
      <c r="I36" s="4" t="s">
        <v>224</v>
      </c>
      <c r="J36" s="4" t="s">
        <v>175</v>
      </c>
    </row>
    <row r="37" spans="1:10" x14ac:dyDescent="0.3">
      <c r="A37" s="4">
        <v>335</v>
      </c>
      <c r="B37" s="4" t="s">
        <v>196</v>
      </c>
      <c r="C37" s="4" t="s">
        <v>50</v>
      </c>
      <c r="D37" s="4">
        <v>39</v>
      </c>
      <c r="E37" s="4" t="s">
        <v>101</v>
      </c>
      <c r="F37" s="4">
        <v>9301287269</v>
      </c>
      <c r="G37" s="4">
        <v>1</v>
      </c>
      <c r="H37" s="4" t="s">
        <v>232</v>
      </c>
      <c r="I37" s="4" t="s">
        <v>224</v>
      </c>
      <c r="J37" s="4" t="s">
        <v>177</v>
      </c>
    </row>
    <row r="38" spans="1:10" x14ac:dyDescent="0.3">
      <c r="A38" s="4">
        <v>336</v>
      </c>
      <c r="B38" s="4" t="s">
        <v>208</v>
      </c>
      <c r="C38" s="4" t="s">
        <v>83</v>
      </c>
      <c r="D38" s="4">
        <v>26</v>
      </c>
      <c r="E38" s="4" t="s">
        <v>9</v>
      </c>
      <c r="F38" s="4">
        <v>9277696808</v>
      </c>
      <c r="G38" s="4">
        <v>1</v>
      </c>
      <c r="H38" s="4" t="s">
        <v>233</v>
      </c>
      <c r="I38" s="4" t="s">
        <v>223</v>
      </c>
      <c r="J38" s="4" t="s">
        <v>178</v>
      </c>
    </row>
    <row r="39" spans="1:10" x14ac:dyDescent="0.3">
      <c r="A39" s="4">
        <v>337</v>
      </c>
      <c r="B39" s="4" t="s">
        <v>192</v>
      </c>
      <c r="C39" s="4" t="s">
        <v>88</v>
      </c>
      <c r="D39" s="4">
        <v>92</v>
      </c>
      <c r="E39" s="4" t="s">
        <v>101</v>
      </c>
      <c r="F39" s="4">
        <v>9299261818</v>
      </c>
      <c r="G39" s="4">
        <v>1</v>
      </c>
      <c r="H39" s="4" t="s">
        <v>230</v>
      </c>
      <c r="I39" s="4" t="s">
        <v>224</v>
      </c>
      <c r="J39" s="4" t="s">
        <v>174</v>
      </c>
    </row>
    <row r="40" spans="1:10" x14ac:dyDescent="0.3">
      <c r="A40" s="4">
        <v>338</v>
      </c>
      <c r="B40" s="4" t="s">
        <v>209</v>
      </c>
      <c r="C40" s="4" t="s">
        <v>50</v>
      </c>
      <c r="D40" s="4">
        <v>64</v>
      </c>
      <c r="E40" s="4" t="s">
        <v>47</v>
      </c>
      <c r="F40" s="4">
        <v>9627921948</v>
      </c>
      <c r="G40" s="4">
        <v>1</v>
      </c>
      <c r="H40" s="4" t="s">
        <v>222</v>
      </c>
      <c r="I40" s="4" t="s">
        <v>224</v>
      </c>
      <c r="J40" s="4" t="s">
        <v>177</v>
      </c>
    </row>
    <row r="41" spans="1:10" x14ac:dyDescent="0.3">
      <c r="A41" s="4">
        <v>339</v>
      </c>
      <c r="B41" s="4" t="s">
        <v>197</v>
      </c>
      <c r="C41" s="4" t="s">
        <v>99</v>
      </c>
      <c r="D41" s="4">
        <v>42</v>
      </c>
      <c r="E41" s="4" t="s">
        <v>47</v>
      </c>
      <c r="F41" s="4">
        <v>9289191471</v>
      </c>
      <c r="G41" s="4">
        <v>1</v>
      </c>
      <c r="H41" s="4" t="s">
        <v>231</v>
      </c>
      <c r="I41" s="4" t="s">
        <v>224</v>
      </c>
      <c r="J41" s="4" t="s">
        <v>176</v>
      </c>
    </row>
    <row r="42" spans="1:10" x14ac:dyDescent="0.3">
      <c r="A42" s="4">
        <v>340</v>
      </c>
      <c r="B42" s="4" t="s">
        <v>198</v>
      </c>
      <c r="C42" s="4" t="s">
        <v>50</v>
      </c>
      <c r="D42" s="4">
        <v>70</v>
      </c>
      <c r="E42" s="4" t="s">
        <v>47</v>
      </c>
      <c r="F42" s="4">
        <v>9227108075</v>
      </c>
      <c r="G42" s="4">
        <v>1</v>
      </c>
      <c r="H42" s="4" t="s">
        <v>222</v>
      </c>
      <c r="I42" s="4" t="s">
        <v>224</v>
      </c>
      <c r="J42" s="4" t="s">
        <v>177</v>
      </c>
    </row>
    <row r="43" spans="1:10" x14ac:dyDescent="0.3">
      <c r="A43" s="4">
        <v>341</v>
      </c>
      <c r="B43" s="4" t="s">
        <v>210</v>
      </c>
      <c r="C43" s="4" t="s">
        <v>99</v>
      </c>
      <c r="D43" s="4">
        <v>32</v>
      </c>
      <c r="E43" s="4" t="s">
        <v>18</v>
      </c>
      <c r="F43" s="4">
        <v>9660292384</v>
      </c>
      <c r="G43" s="4">
        <v>1</v>
      </c>
      <c r="H43" s="4" t="s">
        <v>233</v>
      </c>
      <c r="I43" s="4" t="s">
        <v>223</v>
      </c>
      <c r="J43" s="4" t="s">
        <v>176</v>
      </c>
    </row>
    <row r="44" spans="1:10" x14ac:dyDescent="0.3">
      <c r="A44" s="4">
        <v>342</v>
      </c>
      <c r="B44" s="4" t="s">
        <v>186</v>
      </c>
      <c r="C44" s="4" t="s">
        <v>16</v>
      </c>
      <c r="D44" s="4">
        <v>69</v>
      </c>
      <c r="E44" s="4" t="s">
        <v>101</v>
      </c>
      <c r="F44" s="4">
        <v>9204040174</v>
      </c>
      <c r="G44" s="4">
        <v>1</v>
      </c>
      <c r="H44" s="4" t="s">
        <v>222</v>
      </c>
      <c r="I44" s="4" t="s">
        <v>224</v>
      </c>
      <c r="J44" s="4" t="s">
        <v>175</v>
      </c>
    </row>
    <row r="45" spans="1:10" x14ac:dyDescent="0.3">
      <c r="A45" s="4">
        <v>343</v>
      </c>
      <c r="B45" s="4" t="s">
        <v>195</v>
      </c>
      <c r="C45" s="4" t="s">
        <v>83</v>
      </c>
      <c r="D45" s="4">
        <v>56</v>
      </c>
      <c r="E45" s="4" t="s">
        <v>23</v>
      </c>
      <c r="F45" s="4">
        <v>9302402085</v>
      </c>
      <c r="G45" s="4">
        <v>1</v>
      </c>
      <c r="H45" s="4" t="s">
        <v>231</v>
      </c>
      <c r="I45" s="4" t="s">
        <v>224</v>
      </c>
      <c r="J45" s="4" t="s">
        <v>178</v>
      </c>
    </row>
    <row r="46" spans="1:10" x14ac:dyDescent="0.3">
      <c r="A46" s="4">
        <v>344</v>
      </c>
      <c r="B46" s="4" t="s">
        <v>195</v>
      </c>
      <c r="C46" s="4" t="s">
        <v>88</v>
      </c>
      <c r="D46" s="4">
        <v>75</v>
      </c>
      <c r="E46" s="4" t="s">
        <v>47</v>
      </c>
      <c r="F46" s="4">
        <v>9291326645</v>
      </c>
      <c r="G46" s="4">
        <v>1</v>
      </c>
      <c r="H46" s="4" t="s">
        <v>222</v>
      </c>
      <c r="I46" s="4" t="s">
        <v>224</v>
      </c>
      <c r="J46" s="4" t="s">
        <v>174</v>
      </c>
    </row>
    <row r="47" spans="1:10" x14ac:dyDescent="0.3">
      <c r="A47" s="4">
        <v>345</v>
      </c>
      <c r="B47" s="4" t="s">
        <v>183</v>
      </c>
      <c r="C47" s="4" t="s">
        <v>88</v>
      </c>
      <c r="D47" s="4">
        <v>36</v>
      </c>
      <c r="E47" s="4" t="s">
        <v>23</v>
      </c>
      <c r="F47" s="4">
        <v>9981179562</v>
      </c>
      <c r="G47" s="4">
        <v>1</v>
      </c>
      <c r="H47" s="4" t="s">
        <v>232</v>
      </c>
      <c r="I47" s="4" t="s">
        <v>224</v>
      </c>
      <c r="J47" s="4" t="s">
        <v>174</v>
      </c>
    </row>
    <row r="48" spans="1:10" x14ac:dyDescent="0.3">
      <c r="A48" s="4">
        <v>346</v>
      </c>
      <c r="B48" s="4" t="s">
        <v>211</v>
      </c>
      <c r="C48" s="4" t="s">
        <v>83</v>
      </c>
      <c r="D48" s="4">
        <v>73</v>
      </c>
      <c r="E48" s="4" t="s">
        <v>18</v>
      </c>
      <c r="F48" s="4">
        <v>9917039182</v>
      </c>
      <c r="G48" s="4">
        <v>1</v>
      </c>
      <c r="H48" s="4" t="s">
        <v>222</v>
      </c>
      <c r="I48" s="4" t="s">
        <v>224</v>
      </c>
      <c r="J48" s="4" t="s">
        <v>178</v>
      </c>
    </row>
    <row r="49" spans="1:10" x14ac:dyDescent="0.3">
      <c r="A49" s="4">
        <v>347</v>
      </c>
      <c r="B49" s="4" t="s">
        <v>110</v>
      </c>
      <c r="C49" s="4" t="s">
        <v>16</v>
      </c>
      <c r="D49" s="4">
        <v>69</v>
      </c>
      <c r="E49" s="4" t="s">
        <v>47</v>
      </c>
      <c r="F49" s="4">
        <v>9810881249</v>
      </c>
      <c r="G49" s="4">
        <v>1</v>
      </c>
      <c r="H49" s="4" t="s">
        <v>222</v>
      </c>
      <c r="I49" s="4" t="s">
        <v>224</v>
      </c>
      <c r="J49" s="4" t="s">
        <v>175</v>
      </c>
    </row>
    <row r="50" spans="1:10" x14ac:dyDescent="0.3">
      <c r="A50" s="4">
        <v>348</v>
      </c>
      <c r="B50" s="4" t="s">
        <v>110</v>
      </c>
      <c r="C50" s="4" t="s">
        <v>83</v>
      </c>
      <c r="D50" s="4">
        <v>26</v>
      </c>
      <c r="E50" s="4" t="s">
        <v>23</v>
      </c>
      <c r="F50" s="4">
        <v>9720815308</v>
      </c>
      <c r="G50" s="4">
        <v>1</v>
      </c>
      <c r="H50" s="4" t="s">
        <v>233</v>
      </c>
      <c r="I50" s="4" t="s">
        <v>223</v>
      </c>
      <c r="J50" s="4" t="s">
        <v>178</v>
      </c>
    </row>
    <row r="51" spans="1:10" x14ac:dyDescent="0.3">
      <c r="A51" s="4">
        <v>349</v>
      </c>
      <c r="B51" s="4" t="s">
        <v>202</v>
      </c>
      <c r="C51" s="4" t="s">
        <v>50</v>
      </c>
      <c r="D51" s="4">
        <v>66</v>
      </c>
      <c r="E51" s="4" t="s">
        <v>9</v>
      </c>
      <c r="F51" s="4">
        <v>9249296382</v>
      </c>
      <c r="G51" s="4">
        <v>1</v>
      </c>
      <c r="H51" s="4" t="s">
        <v>222</v>
      </c>
      <c r="I51" s="4" t="s">
        <v>224</v>
      </c>
      <c r="J51" s="4" t="s">
        <v>177</v>
      </c>
    </row>
    <row r="52" spans="1:10" x14ac:dyDescent="0.3">
      <c r="A52" s="4">
        <v>350</v>
      </c>
      <c r="B52" s="4" t="s">
        <v>212</v>
      </c>
      <c r="C52" s="4" t="s">
        <v>99</v>
      </c>
      <c r="D52" s="4">
        <v>87</v>
      </c>
      <c r="E52" s="4" t="s">
        <v>47</v>
      </c>
      <c r="F52" s="4">
        <v>9923456458</v>
      </c>
      <c r="G52" s="4">
        <v>1</v>
      </c>
      <c r="H52" s="4" t="s">
        <v>222</v>
      </c>
      <c r="I52" s="4" t="s">
        <v>224</v>
      </c>
      <c r="J52" s="4" t="s">
        <v>176</v>
      </c>
    </row>
    <row r="53" spans="1:10" x14ac:dyDescent="0.3">
      <c r="A53" s="4">
        <v>351</v>
      </c>
      <c r="B53" s="4" t="s">
        <v>213</v>
      </c>
      <c r="C53" s="4" t="s">
        <v>88</v>
      </c>
      <c r="D53" s="4">
        <v>53</v>
      </c>
      <c r="E53" s="4" t="s">
        <v>18</v>
      </c>
      <c r="F53" s="4">
        <v>9909267074</v>
      </c>
      <c r="G53" s="4">
        <v>1</v>
      </c>
      <c r="H53" s="4" t="s">
        <v>231</v>
      </c>
      <c r="I53" s="4" t="s">
        <v>224</v>
      </c>
      <c r="J53" s="4" t="s">
        <v>174</v>
      </c>
    </row>
    <row r="54" spans="1:10" x14ac:dyDescent="0.3">
      <c r="A54" s="4">
        <v>352</v>
      </c>
      <c r="B54" s="4" t="s">
        <v>110</v>
      </c>
      <c r="C54" s="4" t="s">
        <v>88</v>
      </c>
      <c r="D54" s="4">
        <v>27</v>
      </c>
      <c r="E54" s="4" t="s">
        <v>18</v>
      </c>
      <c r="F54" s="4">
        <v>9675070364</v>
      </c>
      <c r="G54" s="4">
        <v>1</v>
      </c>
      <c r="H54" s="4" t="s">
        <v>233</v>
      </c>
      <c r="I54" s="4" t="s">
        <v>223</v>
      </c>
      <c r="J54" s="4" t="s">
        <v>174</v>
      </c>
    </row>
    <row r="55" spans="1:10" x14ac:dyDescent="0.3">
      <c r="A55" s="4">
        <v>353</v>
      </c>
      <c r="B55" s="4" t="s">
        <v>184</v>
      </c>
      <c r="C55" s="4" t="s">
        <v>16</v>
      </c>
      <c r="D55" s="4">
        <v>67</v>
      </c>
      <c r="E55" s="4" t="s">
        <v>47</v>
      </c>
      <c r="F55" s="4">
        <v>9862321703</v>
      </c>
      <c r="G55" s="4">
        <v>1</v>
      </c>
      <c r="H55" s="4" t="s">
        <v>222</v>
      </c>
      <c r="I55" s="4" t="s">
        <v>224</v>
      </c>
      <c r="J55" s="4" t="s">
        <v>175</v>
      </c>
    </row>
    <row r="56" spans="1:10" x14ac:dyDescent="0.3">
      <c r="A56" s="4">
        <v>354</v>
      </c>
      <c r="B56" s="4" t="s">
        <v>192</v>
      </c>
      <c r="C56" s="4" t="s">
        <v>16</v>
      </c>
      <c r="D56" s="4">
        <v>71</v>
      </c>
      <c r="E56" s="4" t="s">
        <v>47</v>
      </c>
      <c r="F56" s="4">
        <v>9584711250</v>
      </c>
      <c r="G56" s="4">
        <v>1</v>
      </c>
      <c r="H56" s="4" t="s">
        <v>222</v>
      </c>
      <c r="I56" s="4" t="s">
        <v>224</v>
      </c>
      <c r="J56" s="4" t="s">
        <v>175</v>
      </c>
    </row>
    <row r="57" spans="1:10" x14ac:dyDescent="0.3">
      <c r="A57" s="4">
        <v>355</v>
      </c>
      <c r="B57" s="4" t="s">
        <v>192</v>
      </c>
      <c r="C57" s="4" t="s">
        <v>99</v>
      </c>
      <c r="D57" s="4">
        <v>80</v>
      </c>
      <c r="E57" s="4" t="s">
        <v>18</v>
      </c>
      <c r="F57" s="4">
        <v>9625890461</v>
      </c>
      <c r="G57" s="4">
        <v>1</v>
      </c>
      <c r="H57" s="4" t="s">
        <v>222</v>
      </c>
      <c r="I57" s="4" t="s">
        <v>224</v>
      </c>
      <c r="J57" s="4" t="s">
        <v>176</v>
      </c>
    </row>
    <row r="58" spans="1:10" x14ac:dyDescent="0.3">
      <c r="A58" s="4">
        <v>356</v>
      </c>
      <c r="B58" s="4" t="s">
        <v>214</v>
      </c>
      <c r="C58" s="4" t="s">
        <v>50</v>
      </c>
      <c r="D58" s="4">
        <v>65</v>
      </c>
      <c r="E58" s="4" t="s">
        <v>18</v>
      </c>
      <c r="F58" s="4">
        <v>9704267023</v>
      </c>
      <c r="G58" s="4">
        <v>1</v>
      </c>
      <c r="H58" s="4" t="s">
        <v>222</v>
      </c>
      <c r="I58" s="4" t="s">
        <v>224</v>
      </c>
      <c r="J58" s="4" t="s">
        <v>177</v>
      </c>
    </row>
    <row r="59" spans="1:10" x14ac:dyDescent="0.3">
      <c r="A59" s="4">
        <v>357</v>
      </c>
      <c r="B59" s="4" t="s">
        <v>215</v>
      </c>
      <c r="C59" s="4" t="s">
        <v>99</v>
      </c>
      <c r="D59" s="4">
        <v>60</v>
      </c>
      <c r="E59" s="4" t="s">
        <v>101</v>
      </c>
      <c r="F59" s="4">
        <v>9591405297</v>
      </c>
      <c r="G59" s="4">
        <v>1</v>
      </c>
      <c r="H59" s="4" t="s">
        <v>231</v>
      </c>
      <c r="I59" s="4" t="s">
        <v>224</v>
      </c>
      <c r="J59" s="4" t="s">
        <v>176</v>
      </c>
    </row>
    <row r="60" spans="1:10" x14ac:dyDescent="0.3">
      <c r="A60" s="4">
        <v>358</v>
      </c>
      <c r="B60" s="4" t="s">
        <v>110</v>
      </c>
      <c r="C60" s="4" t="s">
        <v>50</v>
      </c>
      <c r="D60" s="4">
        <v>30</v>
      </c>
      <c r="E60" s="4" t="s">
        <v>18</v>
      </c>
      <c r="F60" s="4">
        <v>9874636333</v>
      </c>
      <c r="G60" s="4">
        <v>1</v>
      </c>
      <c r="H60" s="4" t="s">
        <v>233</v>
      </c>
      <c r="I60" s="4" t="s">
        <v>223</v>
      </c>
      <c r="J60" s="4" t="s">
        <v>177</v>
      </c>
    </row>
    <row r="61" spans="1:10" x14ac:dyDescent="0.3">
      <c r="A61" s="4">
        <v>359</v>
      </c>
      <c r="B61" s="4" t="s">
        <v>208</v>
      </c>
      <c r="C61" s="4" t="s">
        <v>50</v>
      </c>
      <c r="D61" s="4">
        <v>81</v>
      </c>
      <c r="E61" s="4" t="s">
        <v>23</v>
      </c>
      <c r="F61" s="4">
        <v>9810777957</v>
      </c>
      <c r="G61" s="4">
        <v>1</v>
      </c>
      <c r="H61" s="4" t="s">
        <v>222</v>
      </c>
      <c r="I61" s="4" t="s">
        <v>224</v>
      </c>
      <c r="J61" s="4" t="s">
        <v>177</v>
      </c>
    </row>
    <row r="62" spans="1:10" x14ac:dyDescent="0.3">
      <c r="A62"/>
      <c r="B62"/>
      <c r="C62"/>
      <c r="D62"/>
      <c r="E62"/>
      <c r="F62"/>
      <c r="G62"/>
    </row>
    <row r="63" spans="1:10" x14ac:dyDescent="0.3">
      <c r="A63"/>
      <c r="B63"/>
      <c r="C63"/>
      <c r="D63"/>
      <c r="E63"/>
      <c r="F63"/>
      <c r="G63"/>
    </row>
    <row r="64" spans="1:10" x14ac:dyDescent="0.3">
      <c r="A64"/>
      <c r="B64"/>
      <c r="C64"/>
      <c r="D64"/>
      <c r="E64"/>
      <c r="F64"/>
      <c r="G64"/>
    </row>
    <row r="65" customFormat="1" x14ac:dyDescent="0.3"/>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075C-D137-4118-8E12-24DBAC75A5E6}">
  <dimension ref="A1:B6"/>
  <sheetViews>
    <sheetView workbookViewId="0">
      <selection activeCell="G9" sqref="G9"/>
    </sheetView>
  </sheetViews>
  <sheetFormatPr defaultRowHeight="14.4" x14ac:dyDescent="0.3"/>
  <cols>
    <col min="2" max="2" width="10.77734375" bestFit="1" customWidth="1"/>
  </cols>
  <sheetData>
    <row r="1" spans="1:2" x14ac:dyDescent="0.3">
      <c r="A1" s="1" t="s">
        <v>2</v>
      </c>
      <c r="B1" s="1" t="s">
        <v>234</v>
      </c>
    </row>
    <row r="2" spans="1:2" x14ac:dyDescent="0.3">
      <c r="A2" t="s">
        <v>88</v>
      </c>
      <c r="B2" t="s">
        <v>174</v>
      </c>
    </row>
    <row r="3" spans="1:2" x14ac:dyDescent="0.3">
      <c r="A3" t="s">
        <v>16</v>
      </c>
      <c r="B3" t="s">
        <v>175</v>
      </c>
    </row>
    <row r="4" spans="1:2" x14ac:dyDescent="0.3">
      <c r="A4" t="s">
        <v>99</v>
      </c>
      <c r="B4" t="s">
        <v>176</v>
      </c>
    </row>
    <row r="5" spans="1:2" x14ac:dyDescent="0.3">
      <c r="A5" t="s">
        <v>50</v>
      </c>
      <c r="B5" t="s">
        <v>177</v>
      </c>
    </row>
    <row r="6" spans="1:2" x14ac:dyDescent="0.3">
      <c r="A6" t="s">
        <v>83</v>
      </c>
      <c r="B6" t="s">
        <v>178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RD</vt:lpstr>
      <vt:lpstr>BH</vt:lpstr>
      <vt:lpstr>Sheet5</vt:lpstr>
      <vt:lpstr>Sheet9</vt:lpstr>
      <vt:lpstr>Dashbord</vt:lpstr>
      <vt:lpstr>Dashboard1</vt:lpstr>
      <vt:lpstr>Clean_Data</vt:lpstr>
      <vt:lpstr>Clean_Hod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Abhishek  Kumar</cp:lastModifiedBy>
  <cp:lastPrinted>2026-02-10T05:55:27Z</cp:lastPrinted>
  <dcterms:created xsi:type="dcterms:W3CDTF">2026-02-08T12:18:44Z</dcterms:created>
  <dcterms:modified xsi:type="dcterms:W3CDTF">2026-02-10T05:59:38Z</dcterms:modified>
</cp:coreProperties>
</file>